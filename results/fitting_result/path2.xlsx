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97989-HO3r10eRqOsV/"/>
    </mc:Choice>
  </mc:AlternateContent>
  <xr:revisionPtr revIDLastSave="0" documentId="13_ncr:1_{7B89AEA2-A977-C64F-8374-3EB2009BA4DE}" xr6:coauthVersionLast="47" xr6:coauthVersionMax="47" xr10:uidLastSave="{00000000-0000-0000-0000-000000000000}"/>
  <bookViews>
    <workbookView xWindow="8380" yWindow="620" windowWidth="21280" windowHeight="20980" xr2:uid="{2A038D6D-B1EE-6444-9094-662275DE0A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0" i="1"/>
  <c r="G24" i="1"/>
  <c r="G30" i="1"/>
  <c r="G15" i="1"/>
  <c r="C4" i="1"/>
  <c r="G4" i="1" s="1"/>
  <c r="G9" i="1"/>
  <c r="C20" i="1" s="1"/>
  <c r="G20" i="1" s="1"/>
  <c r="G5" i="1"/>
  <c r="F21" i="1"/>
  <c r="G21" i="1" s="1"/>
  <c r="F7" i="1"/>
  <c r="G7" i="1" s="1"/>
  <c r="G2" i="1"/>
  <c r="G28" i="1"/>
  <c r="G27" i="1"/>
  <c r="G26" i="1"/>
  <c r="E12" i="1"/>
  <c r="G12" i="1" s="1"/>
  <c r="G22" i="1"/>
  <c r="G19" i="1"/>
  <c r="G16" i="1"/>
  <c r="C14" i="1"/>
  <c r="G14" i="1" s="1"/>
  <c r="G8" i="1"/>
  <c r="D23" i="1"/>
  <c r="G23" i="1" s="1"/>
  <c r="C23" i="1"/>
  <c r="D25" i="1"/>
  <c r="G25" i="1" s="1"/>
  <c r="C25" i="1"/>
  <c r="D29" i="1"/>
  <c r="G29" i="1" s="1"/>
  <c r="C29" i="1"/>
  <c r="G31" i="1"/>
  <c r="G18" i="1"/>
  <c r="G17" i="1"/>
  <c r="G6" i="1"/>
  <c r="C3" i="1" l="1"/>
  <c r="G3" i="1" s="1"/>
  <c r="C11" i="1"/>
  <c r="G11" i="1" s="1"/>
</calcChain>
</file>

<file path=xl/sharedStrings.xml><?xml version="1.0" encoding="utf-8"?>
<sst xmlns="http://schemas.openxmlformats.org/spreadsheetml/2006/main" count="67" uniqueCount="42">
  <si>
    <t>Area</t>
  </si>
  <si>
    <t>Load Zone / City</t>
  </si>
  <si>
    <t>CITY</t>
  </si>
  <si>
    <t>Las Vegas</t>
  </si>
  <si>
    <t>Chandler</t>
  </si>
  <si>
    <t>Moncks Corner</t>
  </si>
  <si>
    <t>PJM</t>
  </si>
  <si>
    <t>PPL</t>
  </si>
  <si>
    <t>Reno</t>
  </si>
  <si>
    <t>Quincy</t>
  </si>
  <si>
    <t>Goodyear</t>
  </si>
  <si>
    <t>Atlanta</t>
  </si>
  <si>
    <t>Phoenix</t>
  </si>
  <si>
    <t>MISO</t>
  </si>
  <si>
    <t>LRZ 6</t>
  </si>
  <si>
    <t>LRZ 2,7</t>
  </si>
  <si>
    <t>Lithia Springs</t>
  </si>
  <si>
    <t>Huntsville</t>
  </si>
  <si>
    <t>Boardman</t>
  </si>
  <si>
    <t>COMED</t>
  </si>
  <si>
    <t>AEP</t>
  </si>
  <si>
    <t>Hillsboro</t>
  </si>
  <si>
    <t>Mesa</t>
  </si>
  <si>
    <t>Sparks</t>
  </si>
  <si>
    <t>Charlotte</t>
  </si>
  <si>
    <t>ERCOT</t>
  </si>
  <si>
    <t>South</t>
  </si>
  <si>
    <t>CAISO</t>
  </si>
  <si>
    <t>SP15</t>
  </si>
  <si>
    <t>West</t>
  </si>
  <si>
    <t>LRZ 8,9,10</t>
  </si>
  <si>
    <t>LRZ 1</t>
  </si>
  <si>
    <t>LRZ 3,5</t>
  </si>
  <si>
    <t>North</t>
  </si>
  <si>
    <t>NP15</t>
  </si>
  <si>
    <t>DOM</t>
  </si>
  <si>
    <t>Data1</t>
  </si>
  <si>
    <t>Data2</t>
  </si>
  <si>
    <t>Data3</t>
  </si>
  <si>
    <t>Data4</t>
  </si>
  <si>
    <t>New Capacity</t>
  </si>
  <si>
    <t>EKPC PJM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</si>
</sst>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FB28-3A5D-5E4A-AE9C-0F2159EC213D}">
  <dimension ref="A1:G31"/>
  <sheetViews>
    <sheetView tabSelected="1" workbookViewId="0">
      <selection activeCell="H15" sqref="H15"/>
    </sheetView>
  </sheetViews>
  <sheetFormatPr baseColWidth="10" defaultRowHeight="16" x14ac:dyDescent="0.2"/>
  <cols>
    <col min="1" max="1" width="6.6640625" bestFit="1" customWidth="1"/>
    <col min="2" max="2" width="14.5" bestFit="1" customWidth="1"/>
    <col min="7" max="7" width="12.33203125" bestFit="1" customWidth="1"/>
  </cols>
  <sheetData>
    <row r="1" spans="1:7" x14ac:dyDescent="0.2">
      <c r="A1" s="1" t="s">
        <v>0</v>
      </c>
      <c r="B1" s="1" t="s">
        <v>1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 spans="1:7" x14ac:dyDescent="0.2">
      <c r="A2" t="s">
        <v>2</v>
      </c>
      <c r="B2" t="s">
        <v>3</v>
      </c>
      <c r="C2">
        <v>22544</v>
      </c>
      <c r="D2">
        <v>24724</v>
      </c>
      <c r="G2">
        <f>(D2-C2)/1000*0.8/0.8</f>
        <v>2.1800000000000002</v>
      </c>
    </row>
    <row r="3" spans="1:7" x14ac:dyDescent="0.2">
      <c r="A3" t="s">
        <v>2</v>
      </c>
      <c r="B3" t="s">
        <v>4</v>
      </c>
      <c r="C3">
        <f>$G$9/$C$9*1000</f>
        <v>0.46666666666666662</v>
      </c>
      <c r="F3">
        <v>205.934</v>
      </c>
      <c r="G3">
        <f>C3*F3*0.8/0.8/1000</f>
        <v>9.6102533333333323E-2</v>
      </c>
    </row>
    <row r="4" spans="1:7" x14ac:dyDescent="0.2">
      <c r="A4" t="s">
        <v>2</v>
      </c>
      <c r="B4" t="s">
        <v>5</v>
      </c>
      <c r="C4">
        <f>1164+671</f>
        <v>1835</v>
      </c>
      <c r="D4">
        <v>0.8</v>
      </c>
      <c r="E4">
        <v>2024</v>
      </c>
      <c r="F4">
        <v>2044</v>
      </c>
      <c r="G4">
        <f>C4*D4*(2030-E4)/(F4-E4)*0.8/0.8/1000</f>
        <v>0.44039999999999996</v>
      </c>
    </row>
    <row r="5" spans="1:7" x14ac:dyDescent="0.2">
      <c r="A5" t="s">
        <v>6</v>
      </c>
      <c r="B5" t="s">
        <v>41</v>
      </c>
      <c r="C5">
        <v>2117</v>
      </c>
      <c r="D5">
        <v>2142</v>
      </c>
      <c r="G5">
        <f>(D5-C5)/1000*0.8/0.8</f>
        <v>2.5000000000000005E-2</v>
      </c>
    </row>
    <row r="6" spans="1:7" x14ac:dyDescent="0.2">
      <c r="A6" t="s">
        <v>6</v>
      </c>
      <c r="B6" t="s">
        <v>7</v>
      </c>
      <c r="C6">
        <v>7356</v>
      </c>
      <c r="D6">
        <v>12001</v>
      </c>
      <c r="G6">
        <f>(D6-C6)/1000*0.8/0.8</f>
        <v>4.6449999999999996</v>
      </c>
    </row>
    <row r="7" spans="1:7" x14ac:dyDescent="0.2">
      <c r="A7" t="s">
        <v>2</v>
      </c>
      <c r="B7" t="s">
        <v>8</v>
      </c>
      <c r="C7">
        <v>12346</v>
      </c>
      <c r="D7">
        <v>17780</v>
      </c>
      <c r="E7">
        <v>108.675</v>
      </c>
      <c r="F7">
        <f>E7+E21</f>
        <v>897.17499999999995</v>
      </c>
      <c r="G7">
        <f>E7/F7*(D7-C7)/1000*0.8/0.8</f>
        <v>0.6582215844177558</v>
      </c>
    </row>
    <row r="8" spans="1:7" x14ac:dyDescent="0.2">
      <c r="A8" t="s">
        <v>2</v>
      </c>
      <c r="B8" t="s">
        <v>9</v>
      </c>
      <c r="C8">
        <v>1568</v>
      </c>
      <c r="D8">
        <v>1578</v>
      </c>
      <c r="E8">
        <v>2897</v>
      </c>
      <c r="G8">
        <f>C8*D8/E8/1000</f>
        <v>0.85409181912323096</v>
      </c>
    </row>
    <row r="9" spans="1:7" x14ac:dyDescent="0.2">
      <c r="A9" t="s">
        <v>2</v>
      </c>
      <c r="B9" t="s">
        <v>10</v>
      </c>
      <c r="C9">
        <v>690</v>
      </c>
      <c r="D9">
        <v>2023</v>
      </c>
      <c r="E9">
        <v>2038</v>
      </c>
      <c r="F9">
        <v>565.90599999999995</v>
      </c>
      <c r="G9">
        <f>C9/(E9-D9)*(2030-D9)/1000*0.8/0.8</f>
        <v>0.32199999999999995</v>
      </c>
    </row>
    <row r="10" spans="1:7" x14ac:dyDescent="0.2">
      <c r="A10" t="s">
        <v>2</v>
      </c>
      <c r="B10" t="s">
        <v>11</v>
      </c>
      <c r="C10">
        <v>18151</v>
      </c>
      <c r="D10">
        <v>25845</v>
      </c>
      <c r="G10">
        <f>(D10-C10)/1000*0.8/0.8*0.1</f>
        <v>0.76940000000000008</v>
      </c>
    </row>
    <row r="11" spans="1:7" x14ac:dyDescent="0.2">
      <c r="A11" t="s">
        <v>2</v>
      </c>
      <c r="B11" t="s">
        <v>12</v>
      </c>
      <c r="C11">
        <f>$G$9/$C$9*1000</f>
        <v>0.46666666666666662</v>
      </c>
      <c r="D11" s="2"/>
      <c r="E11" s="2"/>
      <c r="F11" s="2">
        <v>361.72</v>
      </c>
      <c r="G11">
        <f>C11*F11*0.8/0.8/1000</f>
        <v>0.16880266666666666</v>
      </c>
    </row>
    <row r="12" spans="1:7" x14ac:dyDescent="0.2">
      <c r="A12" t="s">
        <v>13</v>
      </c>
      <c r="B12" t="s">
        <v>14</v>
      </c>
      <c r="C12">
        <v>7</v>
      </c>
      <c r="D12">
        <v>73</v>
      </c>
      <c r="E12">
        <f>D12+D13+D26+D27+D28</f>
        <v>490</v>
      </c>
      <c r="G12">
        <f>C12*D12/E12</f>
        <v>1.0428571428571429</v>
      </c>
    </row>
    <row r="13" spans="1:7" x14ac:dyDescent="0.2">
      <c r="A13" t="s">
        <v>13</v>
      </c>
      <c r="B13" t="s">
        <v>15</v>
      </c>
      <c r="C13">
        <v>7</v>
      </c>
      <c r="D13">
        <v>90</v>
      </c>
      <c r="E13">
        <v>490</v>
      </c>
      <c r="G13">
        <f>C13*D13/E13</f>
        <v>1.2857142857142858</v>
      </c>
    </row>
    <row r="14" spans="1:7" x14ac:dyDescent="0.2">
      <c r="A14" t="s">
        <v>2</v>
      </c>
      <c r="B14" t="s">
        <v>16</v>
      </c>
      <c r="C14">
        <f>(D10-C10)/C10</f>
        <v>0.42388849099223186</v>
      </c>
      <c r="D14">
        <v>289.58199999999999</v>
      </c>
      <c r="G14">
        <f>D14*C14/1000</f>
        <v>0.12275047699851248</v>
      </c>
    </row>
    <row r="15" spans="1:7" x14ac:dyDescent="0.2">
      <c r="A15" t="s">
        <v>2</v>
      </c>
      <c r="B15" t="s">
        <v>17</v>
      </c>
      <c r="C15" s="3">
        <v>2.1999999999999999E-2</v>
      </c>
      <c r="D15">
        <v>572.375</v>
      </c>
      <c r="G15">
        <f>D15*((1+C15)^5-1)/1000</f>
        <v>6.5793164851200125E-2</v>
      </c>
    </row>
    <row r="16" spans="1:7" x14ac:dyDescent="0.2">
      <c r="A16" t="s">
        <v>2</v>
      </c>
      <c r="B16" t="s">
        <v>18</v>
      </c>
      <c r="C16">
        <v>11318</v>
      </c>
      <c r="D16">
        <v>11844</v>
      </c>
      <c r="G16">
        <f>(D16-C16)/1000*0.8/0.8</f>
        <v>0.52600000000000002</v>
      </c>
    </row>
    <row r="17" spans="1:7" x14ac:dyDescent="0.2">
      <c r="A17" t="s">
        <v>6</v>
      </c>
      <c r="B17" t="s">
        <v>19</v>
      </c>
      <c r="C17">
        <v>20565</v>
      </c>
      <c r="D17">
        <v>22077</v>
      </c>
      <c r="G17">
        <f>(D17-C17)/1000*0.8/0.8</f>
        <v>1.512</v>
      </c>
    </row>
    <row r="18" spans="1:7" x14ac:dyDescent="0.2">
      <c r="A18" t="s">
        <v>6</v>
      </c>
      <c r="B18" t="s">
        <v>20</v>
      </c>
      <c r="C18">
        <v>23592</v>
      </c>
      <c r="D18">
        <v>32136</v>
      </c>
      <c r="G18">
        <f>(D18-C18)/1000*0.8/0.8</f>
        <v>8.5440000000000005</v>
      </c>
    </row>
    <row r="19" spans="1:7" x14ac:dyDescent="0.2">
      <c r="A19" t="s">
        <v>2</v>
      </c>
      <c r="B19" t="s">
        <v>21</v>
      </c>
      <c r="C19">
        <v>0.8</v>
      </c>
      <c r="G19">
        <f>C19</f>
        <v>0.8</v>
      </c>
    </row>
    <row r="20" spans="1:7" x14ac:dyDescent="0.2">
      <c r="A20" t="s">
        <v>2</v>
      </c>
      <c r="B20" t="s">
        <v>22</v>
      </c>
      <c r="C20">
        <f>$G$9/$C$9*1000</f>
        <v>0.46666666666666662</v>
      </c>
      <c r="D20" s="2"/>
      <c r="E20" s="2"/>
      <c r="F20" s="2">
        <v>746.36599999999999</v>
      </c>
      <c r="G20">
        <f>C20*F20*0.8/0.8/1000</f>
        <v>0.34830413333333332</v>
      </c>
    </row>
    <row r="21" spans="1:7" x14ac:dyDescent="0.2">
      <c r="A21" t="s">
        <v>2</v>
      </c>
      <c r="B21" t="s">
        <v>23</v>
      </c>
      <c r="C21">
        <v>12346</v>
      </c>
      <c r="D21">
        <v>17780</v>
      </c>
      <c r="E21">
        <v>788.5</v>
      </c>
      <c r="F21">
        <f>E7+E21</f>
        <v>897.17499999999995</v>
      </c>
      <c r="G21">
        <f>E21/F21*(D21-C21)/1000*0.8/0.8</f>
        <v>4.7757784155822449</v>
      </c>
    </row>
    <row r="22" spans="1:7" x14ac:dyDescent="0.2">
      <c r="A22" t="s">
        <v>2</v>
      </c>
      <c r="B22" t="s">
        <v>24</v>
      </c>
      <c r="C22">
        <v>18866</v>
      </c>
      <c r="D22">
        <v>20747</v>
      </c>
      <c r="G22">
        <f>(D22-C22)/1000*0.8/0.8</f>
        <v>1.881</v>
      </c>
    </row>
    <row r="23" spans="1:7" x14ac:dyDescent="0.2">
      <c r="A23" t="s">
        <v>25</v>
      </c>
      <c r="B23" t="s">
        <v>26</v>
      </c>
      <c r="C23">
        <f>6212+15231</f>
        <v>21443</v>
      </c>
      <c r="D23">
        <f>12144+26946</f>
        <v>39090</v>
      </c>
      <c r="E23">
        <v>0.495</v>
      </c>
      <c r="G23">
        <f>(D23-C23)/1000*E23/0.8</f>
        <v>10.919081249999998</v>
      </c>
    </row>
    <row r="24" spans="1:7" x14ac:dyDescent="0.2">
      <c r="A24" t="s">
        <v>27</v>
      </c>
      <c r="B24" t="s">
        <v>28</v>
      </c>
      <c r="C24">
        <v>684</v>
      </c>
      <c r="D24">
        <v>128</v>
      </c>
      <c r="E24">
        <v>2040</v>
      </c>
      <c r="F24">
        <v>2025</v>
      </c>
      <c r="G24">
        <f>(C24-D24)*(2030-E24)/(F24-E24)*0.8/0.8/1000</f>
        <v>0.3706666666666667</v>
      </c>
    </row>
    <row r="25" spans="1:7" x14ac:dyDescent="0.2">
      <c r="A25" t="s">
        <v>25</v>
      </c>
      <c r="B25" t="s">
        <v>29</v>
      </c>
      <c r="C25">
        <f>7147+2053</f>
        <v>9200</v>
      </c>
      <c r="D25">
        <f>15942+7089</f>
        <v>23031</v>
      </c>
      <c r="E25">
        <v>0.495</v>
      </c>
      <c r="G25">
        <f>(D25-C25)/1000*E25/0.8</f>
        <v>8.5579312499999993</v>
      </c>
    </row>
    <row r="26" spans="1:7" x14ac:dyDescent="0.2">
      <c r="A26" t="s">
        <v>13</v>
      </c>
      <c r="B26" t="s">
        <v>30</v>
      </c>
      <c r="C26">
        <v>7</v>
      </c>
      <c r="D26">
        <v>158</v>
      </c>
      <c r="E26">
        <v>490</v>
      </c>
      <c r="G26">
        <f>C26*D26/E26</f>
        <v>2.2571428571428571</v>
      </c>
    </row>
    <row r="27" spans="1:7" x14ac:dyDescent="0.2">
      <c r="A27" t="s">
        <v>13</v>
      </c>
      <c r="B27" t="s">
        <v>31</v>
      </c>
      <c r="C27">
        <v>7</v>
      </c>
      <c r="D27">
        <v>100</v>
      </c>
      <c r="E27">
        <v>490</v>
      </c>
      <c r="G27">
        <f>C27*D27/E27</f>
        <v>1.4285714285714286</v>
      </c>
    </row>
    <row r="28" spans="1:7" x14ac:dyDescent="0.2">
      <c r="A28" t="s">
        <v>13</v>
      </c>
      <c r="B28" t="s">
        <v>32</v>
      </c>
      <c r="C28">
        <v>7</v>
      </c>
      <c r="D28">
        <v>69</v>
      </c>
      <c r="E28">
        <v>490</v>
      </c>
      <c r="G28">
        <f>C28*D28/E28</f>
        <v>0.98571428571428577</v>
      </c>
    </row>
    <row r="29" spans="1:7" x14ac:dyDescent="0.2">
      <c r="A29" t="s">
        <v>25</v>
      </c>
      <c r="B29" t="s">
        <v>33</v>
      </c>
      <c r="C29">
        <f>27495+2843</f>
        <v>30338</v>
      </c>
      <c r="D29">
        <f>36541+3235</f>
        <v>39776</v>
      </c>
      <c r="E29">
        <v>0.495</v>
      </c>
      <c r="G29">
        <f>(D29-C29)/1000*E29/0.8</f>
        <v>5.8397625000000009</v>
      </c>
    </row>
    <row r="30" spans="1:7" x14ac:dyDescent="0.2">
      <c r="A30" t="s">
        <v>27</v>
      </c>
      <c r="B30" t="s">
        <v>34</v>
      </c>
      <c r="C30">
        <v>2761</v>
      </c>
      <c r="D30">
        <v>184</v>
      </c>
      <c r="E30">
        <v>2040</v>
      </c>
      <c r="F30">
        <v>2025</v>
      </c>
      <c r="G30">
        <f>(C30-D30)*(2030-E30)/(F30-E30)*0.8/0.8/1000</f>
        <v>1.718</v>
      </c>
    </row>
    <row r="31" spans="1:7" x14ac:dyDescent="0.2">
      <c r="A31" t="s">
        <v>6</v>
      </c>
      <c r="B31" t="s">
        <v>35</v>
      </c>
      <c r="C31">
        <v>23351</v>
      </c>
      <c r="D31">
        <v>33431</v>
      </c>
      <c r="G31">
        <f>(D31-C31)/1000*0.8/0.8</f>
        <v>10.08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Feng</dc:creator>
  <cp:lastModifiedBy>Victor Feng</cp:lastModifiedBy>
  <dcterms:created xsi:type="dcterms:W3CDTF">2025-12-08T19:46:05Z</dcterms:created>
  <dcterms:modified xsi:type="dcterms:W3CDTF">2025-12-09T14:39:53Z</dcterms:modified>
</cp:coreProperties>
</file>