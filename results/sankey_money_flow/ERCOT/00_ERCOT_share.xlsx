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Paper/202508_datacenter/rider/ERCOT/"/>
    </mc:Choice>
  </mc:AlternateContent>
  <xr:revisionPtr revIDLastSave="0" documentId="13_ncr:1_{626E5D61-5001-B048-8DE5-38B38FDD4CF6}" xr6:coauthVersionLast="47" xr6:coauthVersionMax="47" xr10:uidLastSave="{00000000-0000-0000-0000-000000000000}"/>
  <bookViews>
    <workbookView xWindow="0" yWindow="500" windowWidth="38400" windowHeight="21100" activeTab="3" xr2:uid="{08CDB012-30B4-7842-ADAB-7B261DF56280}"/>
  </bookViews>
  <sheets>
    <sheet name="Houston" sheetId="21" r:id="rId1"/>
    <sheet name="North" sheetId="22" r:id="rId2"/>
    <sheet name="South" sheetId="23" r:id="rId3"/>
    <sheet name="West" sheetId="2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24" l="1"/>
  <c r="F46" i="24"/>
  <c r="E46" i="24"/>
  <c r="D46" i="24"/>
  <c r="C46" i="24"/>
  <c r="B46" i="24"/>
  <c r="G47" i="24"/>
  <c r="F47" i="24"/>
  <c r="E47" i="24"/>
  <c r="D47" i="24"/>
  <c r="C47" i="24"/>
  <c r="B47" i="24"/>
  <c r="C48" i="24"/>
  <c r="D48" i="24"/>
  <c r="E48" i="24"/>
  <c r="F48" i="24"/>
  <c r="G48" i="24"/>
  <c r="B48" i="24"/>
  <c r="D44" i="24"/>
  <c r="C44" i="24"/>
  <c r="B44" i="24"/>
  <c r="G43" i="24"/>
  <c r="G44" i="24" s="1"/>
  <c r="F43" i="24"/>
  <c r="F44" i="24" s="1"/>
  <c r="E43" i="24"/>
  <c r="E44" i="24" s="1"/>
  <c r="D43" i="24"/>
  <c r="C43" i="24"/>
  <c r="B43" i="24"/>
  <c r="G42" i="24"/>
  <c r="F42" i="24"/>
  <c r="E42" i="24"/>
  <c r="D42" i="24"/>
  <c r="C42" i="24"/>
  <c r="B42" i="24"/>
  <c r="C23" i="24"/>
  <c r="B23" i="24"/>
  <c r="G22" i="24"/>
  <c r="G23" i="24" s="1"/>
  <c r="F22" i="24"/>
  <c r="F23" i="24" s="1"/>
  <c r="E22" i="24"/>
  <c r="E23" i="24" s="1"/>
  <c r="D22" i="24"/>
  <c r="C22" i="24"/>
  <c r="B22" i="24"/>
  <c r="G21" i="24"/>
  <c r="F21" i="24"/>
  <c r="E21" i="24"/>
  <c r="D21" i="24"/>
  <c r="D23" i="24" s="1"/>
  <c r="C21" i="24"/>
  <c r="B21" i="24"/>
  <c r="D23" i="23"/>
  <c r="E23" i="23"/>
  <c r="F23" i="23"/>
  <c r="G23" i="23"/>
  <c r="B23" i="23"/>
  <c r="C22" i="23"/>
  <c r="C23" i="23" s="1"/>
  <c r="D22" i="23"/>
  <c r="E22" i="23"/>
  <c r="F22" i="23"/>
  <c r="G22" i="23"/>
  <c r="B22" i="23"/>
  <c r="C21" i="23"/>
  <c r="D21" i="23"/>
  <c r="E21" i="23"/>
  <c r="F21" i="23"/>
  <c r="G21" i="23"/>
  <c r="B21" i="23"/>
  <c r="C20" i="22"/>
  <c r="D20" i="22"/>
  <c r="E20" i="22"/>
  <c r="F20" i="22"/>
  <c r="G20" i="22"/>
  <c r="B20" i="22"/>
  <c r="C19" i="22"/>
  <c r="D19" i="22"/>
  <c r="E19" i="22"/>
  <c r="F19" i="22"/>
  <c r="G19" i="22"/>
  <c r="B19" i="22"/>
  <c r="C21" i="22"/>
  <c r="G21" i="22"/>
  <c r="E21" i="22"/>
  <c r="D21" i="22"/>
  <c r="C19" i="21"/>
  <c r="D19" i="21"/>
  <c r="E19" i="21"/>
  <c r="F19" i="21"/>
  <c r="G19" i="21"/>
  <c r="B19" i="21"/>
  <c r="C18" i="21"/>
  <c r="D18" i="21"/>
  <c r="E18" i="21"/>
  <c r="F18" i="21"/>
  <c r="G18" i="21"/>
  <c r="B18" i="21"/>
  <c r="C17" i="21"/>
  <c r="D17" i="21"/>
  <c r="E17" i="21"/>
  <c r="F17" i="21"/>
  <c r="G17" i="21"/>
  <c r="B17" i="21"/>
  <c r="B21" i="22" l="1"/>
  <c r="F21" i="22"/>
</calcChain>
</file>

<file path=xl/sharedStrings.xml><?xml version="1.0" encoding="utf-8"?>
<sst xmlns="http://schemas.openxmlformats.org/spreadsheetml/2006/main" count="91" uniqueCount="28">
  <si>
    <t>DC</t>
  </si>
  <si>
    <t>Ratio</t>
  </si>
  <si>
    <t>Residential</t>
  </si>
  <si>
    <t>RU</t>
  </si>
  <si>
    <t>xxxxx</t>
  </si>
  <si>
    <t>xxxxxx</t>
  </si>
  <si>
    <t>Residential Service</t>
  </si>
  <si>
    <t>Secondary Service &gt;10 kVA</t>
  </si>
  <si>
    <t>Primary Service</t>
  </si>
  <si>
    <t>Transmission Service</t>
  </si>
  <si>
    <t>Street Lighting Service</t>
  </si>
  <si>
    <t>Miscellaneous Lighting Service</t>
  </si>
  <si>
    <t>Secondary Service&lt;=10 kVA</t>
  </si>
  <si>
    <t>Secondary Service ≤ 10 kW</t>
  </si>
  <si>
    <t>Secondary Service &gt; 10 kW</t>
  </si>
  <si>
    <t>Primary Service ≤ 10 kW</t>
  </si>
  <si>
    <t>Primary Service &gt; 10 kW – Distribution Line</t>
  </si>
  <si>
    <t>Primary Service &gt; 10 kW – Substation</t>
  </si>
  <si>
    <t>Lighting Service</t>
  </si>
  <si>
    <t>xxxxxxx</t>
  </si>
  <si>
    <t>Secondary Less Than or Equal to 10 kV</t>
  </si>
  <si>
    <t>Secondary Greater Than 10 kV</t>
  </si>
  <si>
    <t>RU-1</t>
  </si>
  <si>
    <t>DC-1</t>
  </si>
  <si>
    <t>Ratio-1</t>
  </si>
  <si>
    <t>RU-2</t>
  </si>
  <si>
    <t>DC-2</t>
  </si>
  <si>
    <t>Ratio-2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</si>
</sst>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4EE2-7089-F645-A53E-064DD6D156BE}">
  <dimension ref="A1:G19"/>
  <sheetViews>
    <sheetView workbookViewId="0">
      <selection activeCell="F23" sqref="F23"/>
    </sheetView>
  </sheetViews>
  <sheetFormatPr baseColWidth="10" defaultRowHeight="16" x14ac:dyDescent="0.2"/>
  <cols>
    <col min="1" max="1" width="26.6640625" bestFit="1" customWidth="1"/>
  </cols>
  <sheetData>
    <row r="1" spans="1:7" x14ac:dyDescent="0.2">
      <c r="A1" s="1"/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 x14ac:dyDescent="0.2">
      <c r="A2" s="1" t="s">
        <v>6</v>
      </c>
      <c r="B2" s="1">
        <v>0.47142600000000001</v>
      </c>
      <c r="C2" s="1">
        <v>0.47609600000000002</v>
      </c>
      <c r="D2" s="1">
        <v>0.47609600000000002</v>
      </c>
      <c r="E2" s="1">
        <v>0.47609600000000002</v>
      </c>
      <c r="F2" s="1">
        <v>0.47609600000000002</v>
      </c>
      <c r="G2" s="1">
        <v>0.47609600000000002</v>
      </c>
    </row>
    <row r="3" spans="1:7" x14ac:dyDescent="0.2">
      <c r="A3" s="1" t="s">
        <v>12</v>
      </c>
      <c r="B3" s="1">
        <v>1.1481E-2</v>
      </c>
      <c r="C3" s="1">
        <v>8.3490000000000005E-3</v>
      </c>
      <c r="D3" s="1">
        <v>8.3490000000000005E-3</v>
      </c>
      <c r="E3" s="1">
        <v>8.3490000000000005E-3</v>
      </c>
      <c r="F3" s="1">
        <v>8.3490000000000005E-3</v>
      </c>
      <c r="G3" s="1">
        <v>8.3490000000000005E-3</v>
      </c>
    </row>
    <row r="4" spans="1:7" x14ac:dyDescent="0.2">
      <c r="A4" s="1" t="s">
        <v>7</v>
      </c>
      <c r="B4" s="1">
        <v>0.358682</v>
      </c>
      <c r="C4" s="1">
        <v>0.346862</v>
      </c>
      <c r="D4" s="1">
        <v>0.346862</v>
      </c>
      <c r="E4" s="1">
        <v>0.346862</v>
      </c>
      <c r="F4" s="1">
        <v>0.346862</v>
      </c>
      <c r="G4" s="1">
        <v>0.346862</v>
      </c>
    </row>
    <row r="5" spans="1:7" x14ac:dyDescent="0.2">
      <c r="A5" s="1" t="s">
        <v>8</v>
      </c>
      <c r="B5" s="1">
        <v>3.6249000000000003E-2</v>
      </c>
      <c r="C5" s="1">
        <v>3.4095E-2</v>
      </c>
      <c r="D5" s="1">
        <v>3.4095E-2</v>
      </c>
      <c r="E5" s="1">
        <v>3.4095E-2</v>
      </c>
      <c r="F5" s="1">
        <v>3.4095E-2</v>
      </c>
      <c r="G5" s="1">
        <v>3.4095E-2</v>
      </c>
    </row>
    <row r="6" spans="1:7" x14ac:dyDescent="0.2">
      <c r="A6" s="1" t="s">
        <v>9</v>
      </c>
      <c r="B6" s="1">
        <v>0.12216200000000001</v>
      </c>
      <c r="C6" s="1">
        <v>0.13459699999999999</v>
      </c>
      <c r="D6" s="1">
        <v>0.13459699999999999</v>
      </c>
      <c r="E6" s="1">
        <v>0.13459699999999999</v>
      </c>
      <c r="F6" s="1">
        <v>0.13459699999999999</v>
      </c>
      <c r="G6" s="1">
        <v>0.13459699999999999</v>
      </c>
    </row>
    <row r="7" spans="1:7" x14ac:dyDescent="0.2">
      <c r="A7" s="1" t="s">
        <v>10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</row>
    <row r="8" spans="1:7" x14ac:dyDescent="0.2">
      <c r="A8" s="1" t="s">
        <v>11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</row>
    <row r="9" spans="1:7" x14ac:dyDescent="0.2">
      <c r="A9" s="1" t="s">
        <v>5</v>
      </c>
      <c r="B9" s="1"/>
      <c r="C9" s="1"/>
      <c r="D9" s="1"/>
      <c r="E9" s="1"/>
      <c r="F9" s="1"/>
      <c r="G9" s="1"/>
    </row>
    <row r="10" spans="1:7" x14ac:dyDescent="0.2">
      <c r="A10" s="1" t="s">
        <v>6</v>
      </c>
      <c r="B10" s="1">
        <v>0.47609600000000002</v>
      </c>
      <c r="C10" s="1">
        <v>0.47609600000000002</v>
      </c>
      <c r="D10" s="1">
        <v>0.47609600000000002</v>
      </c>
      <c r="E10" s="1">
        <v>0.47609600000000002</v>
      </c>
      <c r="F10" s="1">
        <v>0.47609600000000002</v>
      </c>
      <c r="G10" s="1">
        <v>0.48923800000000001</v>
      </c>
    </row>
    <row r="11" spans="1:7" x14ac:dyDescent="0.2">
      <c r="A11" s="1" t="s">
        <v>12</v>
      </c>
      <c r="B11" s="1">
        <v>8.3490000000000005E-3</v>
      </c>
      <c r="C11" s="1">
        <v>8.3490000000000005E-3</v>
      </c>
      <c r="D11" s="1">
        <v>8.3490000000000005E-3</v>
      </c>
      <c r="E11" s="1">
        <v>8.3490000000000005E-3</v>
      </c>
      <c r="F11" s="1">
        <v>8.3490000000000005E-3</v>
      </c>
      <c r="G11" s="1">
        <v>6.4859999999999996E-3</v>
      </c>
    </row>
    <row r="12" spans="1:7" x14ac:dyDescent="0.2">
      <c r="A12" s="1" t="s">
        <v>7</v>
      </c>
      <c r="B12" s="1">
        <v>0.346862</v>
      </c>
      <c r="C12" s="1">
        <v>0.346862</v>
      </c>
      <c r="D12" s="1">
        <v>0.346862</v>
      </c>
      <c r="E12" s="1">
        <v>0.346862</v>
      </c>
      <c r="F12" s="1">
        <v>0.346862</v>
      </c>
      <c r="G12" s="1">
        <v>0.29027500000000001</v>
      </c>
    </row>
    <row r="13" spans="1:7" x14ac:dyDescent="0.2">
      <c r="A13" s="1" t="s">
        <v>8</v>
      </c>
      <c r="B13" s="1">
        <v>3.4095E-2</v>
      </c>
      <c r="C13" s="1">
        <v>3.4095E-2</v>
      </c>
      <c r="D13" s="1">
        <v>3.4095E-2</v>
      </c>
      <c r="E13" s="1">
        <v>3.4095E-2</v>
      </c>
      <c r="F13" s="1">
        <v>3.4095E-2</v>
      </c>
      <c r="G13" s="1">
        <v>3.0845999999999998E-2</v>
      </c>
    </row>
    <row r="14" spans="1:7" x14ac:dyDescent="0.2">
      <c r="A14" s="1" t="s">
        <v>9</v>
      </c>
      <c r="B14" s="1">
        <v>0.13459699999999999</v>
      </c>
      <c r="C14" s="1">
        <v>0.13459699999999999</v>
      </c>
      <c r="D14" s="1">
        <v>0.13459699999999999</v>
      </c>
      <c r="E14" s="1">
        <v>0.13459699999999999</v>
      </c>
      <c r="F14" s="1">
        <v>0.13459699999999999</v>
      </c>
      <c r="G14" s="1">
        <v>0.18315500000000001</v>
      </c>
    </row>
    <row r="15" spans="1:7" x14ac:dyDescent="0.2">
      <c r="A15" s="1" t="s">
        <v>10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2">
      <c r="A16" s="1" t="s">
        <v>11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2">
      <c r="A17" s="1" t="s">
        <v>3</v>
      </c>
      <c r="B17" s="1">
        <f>(B10+B2)/2</f>
        <v>0.47376099999999999</v>
      </c>
      <c r="C17" s="1">
        <f t="shared" ref="C17:G17" si="0">(C10+C2)/2</f>
        <v>0.47609600000000002</v>
      </c>
      <c r="D17" s="1">
        <f t="shared" si="0"/>
        <v>0.47609600000000002</v>
      </c>
      <c r="E17" s="1">
        <f t="shared" si="0"/>
        <v>0.47609600000000002</v>
      </c>
      <c r="F17" s="1">
        <f t="shared" si="0"/>
        <v>0.47609600000000002</v>
      </c>
      <c r="G17" s="1">
        <f t="shared" si="0"/>
        <v>0.48266700000000001</v>
      </c>
    </row>
    <row r="18" spans="1:7" x14ac:dyDescent="0.2">
      <c r="A18" s="1" t="s">
        <v>0</v>
      </c>
      <c r="B18" s="1">
        <f>(B5+B6+B13+B14)/2</f>
        <v>0.16355150000000002</v>
      </c>
      <c r="C18" s="1">
        <f t="shared" ref="C18:G18" si="1">(C5+C6+C13+C14)/2</f>
        <v>0.16869200000000001</v>
      </c>
      <c r="D18" s="1">
        <f t="shared" si="1"/>
        <v>0.16869200000000001</v>
      </c>
      <c r="E18" s="1">
        <f t="shared" si="1"/>
        <v>0.16869200000000001</v>
      </c>
      <c r="F18" s="1">
        <f t="shared" si="1"/>
        <v>0.16869200000000001</v>
      </c>
      <c r="G18" s="1">
        <f t="shared" si="1"/>
        <v>0.1913465</v>
      </c>
    </row>
    <row r="19" spans="1:7" x14ac:dyDescent="0.2">
      <c r="A19" s="1" t="s">
        <v>1</v>
      </c>
      <c r="B19" s="1">
        <f>B18/B17</f>
        <v>0.34521942498432756</v>
      </c>
      <c r="C19" s="1">
        <f t="shared" ref="C19:G19" si="2">C18/C17</f>
        <v>0.35432349778195993</v>
      </c>
      <c r="D19" s="1">
        <f t="shared" si="2"/>
        <v>0.35432349778195993</v>
      </c>
      <c r="E19" s="1">
        <f t="shared" si="2"/>
        <v>0.35432349778195993</v>
      </c>
      <c r="F19" s="1">
        <f t="shared" si="2"/>
        <v>0.35432349778195993</v>
      </c>
      <c r="G19" s="1">
        <f t="shared" si="2"/>
        <v>0.39643584500286949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909A-F304-E340-9AC7-A316AC6FB2B1}">
  <dimension ref="A1:G21"/>
  <sheetViews>
    <sheetView workbookViewId="0">
      <selection activeCell="E30" sqref="E30"/>
    </sheetView>
  </sheetViews>
  <sheetFormatPr baseColWidth="10" defaultRowHeight="16" x14ac:dyDescent="0.2"/>
  <cols>
    <col min="1" max="1" width="37" bestFit="1" customWidth="1"/>
  </cols>
  <sheetData>
    <row r="1" spans="1:7" x14ac:dyDescent="0.2">
      <c r="A1" s="2"/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 x14ac:dyDescent="0.2">
      <c r="A2" s="1" t="s">
        <v>6</v>
      </c>
      <c r="B2" s="1">
        <v>0.47002086650000002</v>
      </c>
      <c r="C2" s="1">
        <v>0.47002086650000002</v>
      </c>
      <c r="D2" s="1">
        <v>0.47002086650000002</v>
      </c>
      <c r="E2" s="1">
        <v>0.47002086650000002</v>
      </c>
      <c r="F2" s="1">
        <v>0.45880672249999999</v>
      </c>
      <c r="G2" s="1">
        <v>0.45880672249999999</v>
      </c>
    </row>
    <row r="3" spans="1:7" x14ac:dyDescent="0.2">
      <c r="A3" s="1" t="s">
        <v>13</v>
      </c>
      <c r="B3" s="1">
        <v>1.27036861E-2</v>
      </c>
      <c r="C3" s="1">
        <v>1.27036861E-2</v>
      </c>
      <c r="D3" s="1">
        <v>1.27036861E-2</v>
      </c>
      <c r="E3" s="1">
        <v>1.27036861E-2</v>
      </c>
      <c r="F3" s="1">
        <v>1.2824408299999999E-2</v>
      </c>
      <c r="G3" s="1">
        <v>1.2824408299999999E-2</v>
      </c>
    </row>
    <row r="4" spans="1:7" x14ac:dyDescent="0.2">
      <c r="A4" s="1" t="s">
        <v>14</v>
      </c>
      <c r="B4" s="1">
        <v>0.37570954220000002</v>
      </c>
      <c r="C4" s="1">
        <v>0.37570954220000002</v>
      </c>
      <c r="D4" s="1">
        <v>0.37570954220000002</v>
      </c>
      <c r="E4" s="1">
        <v>0.37570954220000002</v>
      </c>
      <c r="F4" s="1">
        <v>0.33353592659999998</v>
      </c>
      <c r="G4" s="1">
        <v>0.33353592659999998</v>
      </c>
    </row>
    <row r="5" spans="1:7" x14ac:dyDescent="0.2">
      <c r="A5" s="1" t="s">
        <v>15</v>
      </c>
      <c r="B5" s="1">
        <v>1.1516259999999999E-4</v>
      </c>
      <c r="C5" s="1">
        <v>1.1516259999999999E-4</v>
      </c>
      <c r="D5" s="1">
        <v>1.1516259999999999E-4</v>
      </c>
      <c r="E5" s="1">
        <v>1.1516259999999999E-4</v>
      </c>
      <c r="F5" s="1">
        <v>1.3264329999999999E-4</v>
      </c>
      <c r="G5" s="1">
        <v>1.3264329999999999E-4</v>
      </c>
    </row>
    <row r="6" spans="1:7" x14ac:dyDescent="0.2">
      <c r="A6" s="1" t="s">
        <v>16</v>
      </c>
      <c r="B6" s="1">
        <v>6.4652649500000006E-2</v>
      </c>
      <c r="C6" s="1">
        <v>6.4652649500000006E-2</v>
      </c>
      <c r="D6" s="1">
        <v>6.4652649500000006E-2</v>
      </c>
      <c r="E6" s="1">
        <v>6.4652649500000006E-2</v>
      </c>
      <c r="F6" s="1">
        <v>8.38539747E-2</v>
      </c>
      <c r="G6" s="1">
        <v>8.38539747E-2</v>
      </c>
    </row>
    <row r="7" spans="1:7" x14ac:dyDescent="0.2">
      <c r="A7" s="1" t="s">
        <v>17</v>
      </c>
      <c r="B7" s="1">
        <v>1.4872209799999999E-2</v>
      </c>
      <c r="C7" s="1">
        <v>1.4872209799999999E-2</v>
      </c>
      <c r="D7" s="1">
        <v>1.4872209799999999E-2</v>
      </c>
      <c r="E7" s="1">
        <v>1.4872209799999999E-2</v>
      </c>
      <c r="F7" s="1">
        <v>2.7463663700000002E-2</v>
      </c>
      <c r="G7" s="1">
        <v>2.7463663700000002E-2</v>
      </c>
    </row>
    <row r="8" spans="1:7" x14ac:dyDescent="0.2">
      <c r="A8" s="1" t="s">
        <v>9</v>
      </c>
      <c r="B8" s="1">
        <v>6.1925883299999998E-2</v>
      </c>
      <c r="C8" s="1">
        <v>6.1925883299999998E-2</v>
      </c>
      <c r="D8" s="1">
        <v>6.1925883299999998E-2</v>
      </c>
      <c r="E8" s="1">
        <v>6.1925883299999998E-2</v>
      </c>
      <c r="F8" s="1">
        <v>8.3382660900000002E-2</v>
      </c>
      <c r="G8" s="1">
        <v>8.3382660900000002E-2</v>
      </c>
    </row>
    <row r="9" spans="1:7" x14ac:dyDescent="0.2">
      <c r="A9" s="1" t="s">
        <v>18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7" x14ac:dyDescent="0.2">
      <c r="A10" s="1" t="s">
        <v>4</v>
      </c>
      <c r="B10" s="1"/>
      <c r="C10" s="1"/>
      <c r="D10" s="1"/>
      <c r="E10" s="1"/>
      <c r="F10" s="1"/>
      <c r="G10" s="1"/>
    </row>
    <row r="11" spans="1:7" x14ac:dyDescent="0.2">
      <c r="A11" s="1" t="s">
        <v>6</v>
      </c>
      <c r="B11" s="1">
        <v>0.47002086650000002</v>
      </c>
      <c r="C11" s="1">
        <v>0.47002086650000002</v>
      </c>
      <c r="D11" s="1">
        <v>0.47002086650000002</v>
      </c>
      <c r="E11" s="1">
        <v>0.45880672249999999</v>
      </c>
      <c r="F11" s="1">
        <v>0.45880672249999999</v>
      </c>
      <c r="G11" s="1">
        <v>0.45880672249999999</v>
      </c>
    </row>
    <row r="12" spans="1:7" x14ac:dyDescent="0.2">
      <c r="A12" s="1" t="s">
        <v>13</v>
      </c>
      <c r="B12" s="1">
        <v>1.27036861E-2</v>
      </c>
      <c r="C12" s="1">
        <v>1.27036861E-2</v>
      </c>
      <c r="D12" s="1">
        <v>1.27036861E-2</v>
      </c>
      <c r="E12" s="1">
        <v>1.2824408299999999E-2</v>
      </c>
      <c r="F12" s="1">
        <v>1.2824408299999999E-2</v>
      </c>
      <c r="G12" s="1">
        <v>1.2824408299999999E-2</v>
      </c>
    </row>
    <row r="13" spans="1:7" x14ac:dyDescent="0.2">
      <c r="A13" s="1" t="s">
        <v>14</v>
      </c>
      <c r="B13" s="1">
        <v>0.37570954220000002</v>
      </c>
      <c r="C13" s="1">
        <v>0.37570954220000002</v>
      </c>
      <c r="D13" s="1">
        <v>0.37570954220000002</v>
      </c>
      <c r="E13" s="1">
        <v>0.33353592659999998</v>
      </c>
      <c r="F13" s="1">
        <v>0.33353592659999998</v>
      </c>
      <c r="G13" s="1">
        <v>0.33353592659999998</v>
      </c>
    </row>
    <row r="14" spans="1:7" x14ac:dyDescent="0.2">
      <c r="A14" s="1" t="s">
        <v>15</v>
      </c>
      <c r="B14" s="1">
        <v>1.1516259999999999E-4</v>
      </c>
      <c r="C14" s="1">
        <v>1.1516259999999999E-4</v>
      </c>
      <c r="D14" s="1">
        <v>1.1516259999999999E-4</v>
      </c>
      <c r="E14" s="1">
        <v>1.3264329999999999E-4</v>
      </c>
      <c r="F14" s="1">
        <v>1.3264329999999999E-4</v>
      </c>
      <c r="G14" s="1">
        <v>1.3264329999999999E-4</v>
      </c>
    </row>
    <row r="15" spans="1:7" x14ac:dyDescent="0.2">
      <c r="A15" s="1" t="s">
        <v>16</v>
      </c>
      <c r="B15" s="1">
        <v>6.4652649500000006E-2</v>
      </c>
      <c r="C15" s="1">
        <v>6.4652649500000006E-2</v>
      </c>
      <c r="D15" s="1">
        <v>6.4652649500000006E-2</v>
      </c>
      <c r="E15" s="1">
        <v>8.38539747E-2</v>
      </c>
      <c r="F15" s="1">
        <v>8.38539747E-2</v>
      </c>
      <c r="G15" s="1">
        <v>8.38539747E-2</v>
      </c>
    </row>
    <row r="16" spans="1:7" x14ac:dyDescent="0.2">
      <c r="A16" s="1" t="s">
        <v>17</v>
      </c>
      <c r="B16" s="1">
        <v>1.4872209799999999E-2</v>
      </c>
      <c r="C16" s="1">
        <v>1.4872209799999999E-2</v>
      </c>
      <c r="D16" s="1">
        <v>1.4872209799999999E-2</v>
      </c>
      <c r="E16" s="1">
        <v>2.7463663700000002E-2</v>
      </c>
      <c r="F16" s="1">
        <v>2.7463663700000002E-2</v>
      </c>
      <c r="G16" s="1">
        <v>2.7463663700000002E-2</v>
      </c>
    </row>
    <row r="17" spans="1:7" x14ac:dyDescent="0.2">
      <c r="A17" s="1" t="s">
        <v>9</v>
      </c>
      <c r="B17" s="1">
        <v>6.1925883299999998E-2</v>
      </c>
      <c r="C17" s="1">
        <v>6.1925883299999998E-2</v>
      </c>
      <c r="D17" s="1">
        <v>6.1925883299999998E-2</v>
      </c>
      <c r="E17" s="1">
        <v>8.3382660900000002E-2</v>
      </c>
      <c r="F17" s="1">
        <v>8.3382660900000002E-2</v>
      </c>
      <c r="G17" s="1">
        <v>8.3382660900000002E-2</v>
      </c>
    </row>
    <row r="18" spans="1:7" x14ac:dyDescent="0.2">
      <c r="A18" s="1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">
      <c r="A19" s="1" t="s">
        <v>3</v>
      </c>
      <c r="B19" s="1">
        <f>(B2+B11)/2</f>
        <v>0.47002086650000002</v>
      </c>
      <c r="C19" s="1">
        <f t="shared" ref="C19:G19" si="0">(C2+C11)/2</f>
        <v>0.47002086650000002</v>
      </c>
      <c r="D19" s="1">
        <f t="shared" si="0"/>
        <v>0.47002086650000002</v>
      </c>
      <c r="E19" s="1">
        <f t="shared" si="0"/>
        <v>0.46441379449999998</v>
      </c>
      <c r="F19" s="1">
        <f t="shared" si="0"/>
        <v>0.45880672249999999</v>
      </c>
      <c r="G19" s="1">
        <f t="shared" si="0"/>
        <v>0.45880672249999999</v>
      </c>
    </row>
    <row r="20" spans="1:7" x14ac:dyDescent="0.2">
      <c r="A20" s="1" t="s">
        <v>0</v>
      </c>
      <c r="B20" s="1">
        <f>(B7+B8+B6+B5+B14+B15+B16+B17)/2</f>
        <v>0.14156590520000001</v>
      </c>
      <c r="C20" s="1">
        <f t="shared" ref="C20:G20" si="1">(C7+C8+C6+C5+C14+C15+C16+C17)/2</f>
        <v>0.14156590520000001</v>
      </c>
      <c r="D20" s="1">
        <f t="shared" si="1"/>
        <v>0.14156590520000001</v>
      </c>
      <c r="E20" s="1">
        <f t="shared" si="1"/>
        <v>0.16819942390000003</v>
      </c>
      <c r="F20" s="1">
        <f t="shared" si="1"/>
        <v>0.1948329426</v>
      </c>
      <c r="G20" s="1">
        <f t="shared" si="1"/>
        <v>0.1948329426</v>
      </c>
    </row>
    <row r="21" spans="1:7" x14ac:dyDescent="0.2">
      <c r="A21" s="1" t="s">
        <v>1</v>
      </c>
      <c r="B21" s="1">
        <f>B20/B19</f>
        <v>0.30119068171200014</v>
      </c>
      <c r="C21" s="1">
        <f t="shared" ref="C21:G21" si="2">C20/C19</f>
        <v>0.30119068171200014</v>
      </c>
      <c r="D21" s="1">
        <f t="shared" si="2"/>
        <v>0.30119068171200014</v>
      </c>
      <c r="E21" s="1">
        <f t="shared" si="2"/>
        <v>0.36217577059933787</v>
      </c>
      <c r="F21" s="1">
        <f t="shared" si="2"/>
        <v>0.42465145571183299</v>
      </c>
      <c r="G21" s="1">
        <f t="shared" si="2"/>
        <v>0.42465145571183299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12D3-545A-164E-8D12-C40827F22881}">
  <dimension ref="A1:G23"/>
  <sheetViews>
    <sheetView workbookViewId="0">
      <selection activeCell="B23" sqref="B23"/>
    </sheetView>
  </sheetViews>
  <sheetFormatPr baseColWidth="10" defaultRowHeight="16" x14ac:dyDescent="0.2"/>
  <cols>
    <col min="1" max="1" width="34.83203125" bestFit="1" customWidth="1"/>
  </cols>
  <sheetData>
    <row r="1" spans="1:7" x14ac:dyDescent="0.2">
      <c r="A1" s="1"/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 x14ac:dyDescent="0.2">
      <c r="A2" s="1" t="s">
        <v>2</v>
      </c>
      <c r="B2" s="1">
        <v>0.47210000000000002</v>
      </c>
      <c r="C2" s="1">
        <v>0.47309000000000001</v>
      </c>
      <c r="D2" s="1">
        <v>0.47309000000000001</v>
      </c>
      <c r="E2" s="1">
        <v>0.47309000000000001</v>
      </c>
      <c r="F2" s="1">
        <v>0.48203000000000001</v>
      </c>
      <c r="G2" s="1">
        <v>0.48476999999999998</v>
      </c>
    </row>
    <row r="3" spans="1:7" x14ac:dyDescent="0.2">
      <c r="A3" s="1" t="s">
        <v>20</v>
      </c>
      <c r="B3" s="1">
        <v>1.704E-2</v>
      </c>
      <c r="C3" s="1">
        <v>1.704E-2</v>
      </c>
      <c r="D3" s="1">
        <v>1.704E-2</v>
      </c>
      <c r="E3" s="1">
        <v>1.704E-2</v>
      </c>
      <c r="F3" s="1">
        <v>2.1479999999999999E-2</v>
      </c>
      <c r="G3" s="1">
        <v>1.917E-2</v>
      </c>
    </row>
    <row r="4" spans="1:7" x14ac:dyDescent="0.2">
      <c r="A4" s="1" t="s">
        <v>21</v>
      </c>
      <c r="B4" s="1">
        <v>2.0199999999999999E-2</v>
      </c>
      <c r="C4" s="1">
        <v>3.1519999999999999E-2</v>
      </c>
      <c r="D4" s="1">
        <v>3.1519999999999999E-2</v>
      </c>
      <c r="E4" s="1">
        <v>3.1519999999999999E-2</v>
      </c>
      <c r="F4" s="1">
        <v>3.0769999999999999E-2</v>
      </c>
      <c r="G4" s="1">
        <v>2.8719999999999999E-2</v>
      </c>
    </row>
    <row r="5" spans="1:7" x14ac:dyDescent="0.2">
      <c r="A5" s="1"/>
      <c r="B5" s="1">
        <v>0.29220000000000002</v>
      </c>
      <c r="C5" s="1">
        <v>0.28071000000000002</v>
      </c>
      <c r="D5" s="1">
        <v>0.28071000000000002</v>
      </c>
      <c r="E5" s="1">
        <v>0.28071000000000002</v>
      </c>
      <c r="F5" s="1">
        <v>0.25768000000000002</v>
      </c>
      <c r="G5" s="1">
        <v>0.25679000000000002</v>
      </c>
    </row>
    <row r="6" spans="1:7" x14ac:dyDescent="0.2">
      <c r="A6" s="1" t="s">
        <v>8</v>
      </c>
      <c r="B6" s="1">
        <v>9.7699999999999995E-2</v>
      </c>
      <c r="C6" s="1">
        <v>9.8030000000000006E-2</v>
      </c>
      <c r="D6" s="1">
        <v>9.8030000000000006E-2</v>
      </c>
      <c r="E6" s="1">
        <v>9.8030000000000006E-2</v>
      </c>
      <c r="F6" s="1">
        <v>8.7489999999999998E-2</v>
      </c>
      <c r="G6" s="1">
        <v>6.3329999999999997E-2</v>
      </c>
    </row>
    <row r="7" spans="1:7" x14ac:dyDescent="0.2">
      <c r="A7" s="1"/>
      <c r="B7" s="1">
        <v>1.0500000000000001E-2</v>
      </c>
      <c r="C7" s="1">
        <v>6.5399999999999998E-3</v>
      </c>
      <c r="D7" s="1">
        <v>6.5399999999999998E-3</v>
      </c>
      <c r="E7" s="1">
        <v>6.5399999999999998E-3</v>
      </c>
      <c r="F7" s="1">
        <v>5.8100000000000001E-3</v>
      </c>
      <c r="G7" s="1">
        <v>5.1799999999999997E-3</v>
      </c>
    </row>
    <row r="8" spans="1:7" x14ac:dyDescent="0.2">
      <c r="A8" s="1"/>
      <c r="B8" s="1"/>
      <c r="C8" s="1"/>
      <c r="D8" s="1"/>
      <c r="E8" s="1"/>
      <c r="F8" s="1"/>
      <c r="G8" s="1">
        <v>1.225E-2</v>
      </c>
    </row>
    <row r="9" spans="1:7" x14ac:dyDescent="0.2">
      <c r="A9" s="1"/>
      <c r="B9" s="1"/>
      <c r="C9" s="1"/>
      <c r="D9" s="1"/>
      <c r="E9" s="1"/>
      <c r="F9" s="1"/>
      <c r="G9" s="1">
        <v>1.2999999999999999E-4</v>
      </c>
    </row>
    <row r="10" spans="1:7" x14ac:dyDescent="0.2">
      <c r="A10" s="1" t="s">
        <v>9</v>
      </c>
      <c r="B10" s="1">
        <v>9.01E-2</v>
      </c>
      <c r="C10" s="1">
        <v>9.307E-2</v>
      </c>
      <c r="D10" s="1">
        <v>9.307E-2</v>
      </c>
      <c r="E10" s="1">
        <v>9.307E-2</v>
      </c>
      <c r="F10" s="1">
        <v>0.11475</v>
      </c>
      <c r="G10" s="1">
        <v>0.12966</v>
      </c>
    </row>
    <row r="11" spans="1:7" x14ac:dyDescent="0.2">
      <c r="A11" s="1" t="s">
        <v>19</v>
      </c>
      <c r="B11" s="1"/>
      <c r="C11" s="1"/>
      <c r="D11" s="1"/>
      <c r="E11" s="1"/>
      <c r="F11" s="1"/>
      <c r="G11" s="1"/>
    </row>
    <row r="12" spans="1:7" x14ac:dyDescent="0.2">
      <c r="A12" s="1" t="s">
        <v>2</v>
      </c>
      <c r="B12" s="1">
        <v>0.47210000000000002</v>
      </c>
      <c r="C12" s="1">
        <v>0.47309000000000001</v>
      </c>
      <c r="D12" s="1">
        <v>0.47309000000000001</v>
      </c>
      <c r="E12" s="1">
        <v>0.48203000000000001</v>
      </c>
      <c r="F12" s="1">
        <v>0.48203000000000001</v>
      </c>
      <c r="G12" s="1">
        <v>0.48476999999999998</v>
      </c>
    </row>
    <row r="13" spans="1:7" x14ac:dyDescent="0.2">
      <c r="A13" s="1" t="s">
        <v>20</v>
      </c>
      <c r="B13" s="1">
        <v>1.704E-2</v>
      </c>
      <c r="C13" s="1">
        <v>1.704E-2</v>
      </c>
      <c r="D13" s="1">
        <v>1.704E-2</v>
      </c>
      <c r="E13" s="1">
        <v>2.1479999999999999E-2</v>
      </c>
      <c r="F13" s="1">
        <v>2.1479999999999999E-2</v>
      </c>
      <c r="G13" s="1">
        <v>1.917E-2</v>
      </c>
    </row>
    <row r="14" spans="1:7" x14ac:dyDescent="0.2">
      <c r="A14" s="1" t="s">
        <v>21</v>
      </c>
      <c r="B14" s="1">
        <v>2.0199999999999999E-2</v>
      </c>
      <c r="C14" s="1">
        <v>3.1519999999999999E-2</v>
      </c>
      <c r="D14" s="1">
        <v>3.1519999999999999E-2</v>
      </c>
      <c r="E14" s="1">
        <v>3.0769999999999999E-2</v>
      </c>
      <c r="F14" s="1">
        <v>3.0769999999999999E-2</v>
      </c>
      <c r="G14" s="1">
        <v>2.8719999999999999E-2</v>
      </c>
    </row>
    <row r="15" spans="1:7" x14ac:dyDescent="0.2">
      <c r="A15" s="1"/>
      <c r="B15" s="1">
        <v>0.29220000000000002</v>
      </c>
      <c r="C15" s="1">
        <v>0.28071000000000002</v>
      </c>
      <c r="D15" s="1">
        <v>0.28071000000000002</v>
      </c>
      <c r="E15" s="1">
        <v>0.25768000000000002</v>
      </c>
      <c r="F15" s="1">
        <v>0.25768000000000002</v>
      </c>
      <c r="G15" s="1">
        <v>0.25679000000000002</v>
      </c>
    </row>
    <row r="16" spans="1:7" x14ac:dyDescent="0.2">
      <c r="A16" s="1" t="s">
        <v>8</v>
      </c>
      <c r="B16" s="1">
        <v>9.7699999999999995E-2</v>
      </c>
      <c r="C16" s="1">
        <v>9.8030000000000006E-2</v>
      </c>
      <c r="D16" s="1">
        <v>9.8030000000000006E-2</v>
      </c>
      <c r="E16" s="1">
        <v>8.7489999999999998E-2</v>
      </c>
      <c r="F16" s="1">
        <v>8.7489999999999998E-2</v>
      </c>
      <c r="G16" s="1">
        <v>6.3329999999999997E-2</v>
      </c>
    </row>
    <row r="17" spans="1:7" x14ac:dyDescent="0.2">
      <c r="A17" s="1"/>
      <c r="B17" s="1">
        <v>1.0500000000000001E-2</v>
      </c>
      <c r="C17" s="1">
        <v>6.5399999999999998E-3</v>
      </c>
      <c r="D17" s="1">
        <v>6.5399999999999998E-3</v>
      </c>
      <c r="E17" s="1">
        <v>5.8100000000000001E-3</v>
      </c>
      <c r="F17" s="1">
        <v>5.8100000000000001E-3</v>
      </c>
      <c r="G17" s="1">
        <v>5.1799999999999997E-3</v>
      </c>
    </row>
    <row r="18" spans="1:7" x14ac:dyDescent="0.2">
      <c r="A18" s="1"/>
      <c r="B18" s="1"/>
      <c r="C18" s="1"/>
      <c r="D18" s="1"/>
      <c r="E18" s="1"/>
      <c r="F18" s="1"/>
      <c r="G18" s="1">
        <v>1.225E-2</v>
      </c>
    </row>
    <row r="19" spans="1:7" x14ac:dyDescent="0.2">
      <c r="A19" s="1"/>
      <c r="B19" s="1"/>
      <c r="C19" s="1"/>
      <c r="D19" s="1"/>
      <c r="E19" s="1"/>
      <c r="F19" s="1"/>
      <c r="G19" s="1">
        <v>1.2999999999999999E-4</v>
      </c>
    </row>
    <row r="20" spans="1:7" x14ac:dyDescent="0.2">
      <c r="A20" s="1" t="s">
        <v>9</v>
      </c>
      <c r="B20" s="1">
        <v>9.01E-2</v>
      </c>
      <c r="C20" s="1">
        <v>9.307E-2</v>
      </c>
      <c r="D20" s="1">
        <v>9.307E-2</v>
      </c>
      <c r="E20" s="1">
        <v>0.11475</v>
      </c>
      <c r="F20" s="1">
        <v>0.11475</v>
      </c>
      <c r="G20" s="1">
        <v>0.12966</v>
      </c>
    </row>
    <row r="21" spans="1:7" x14ac:dyDescent="0.2">
      <c r="A21" s="1" t="s">
        <v>3</v>
      </c>
      <c r="B21" s="1">
        <f>(B2+B12)/2</f>
        <v>0.47210000000000002</v>
      </c>
      <c r="C21" s="1">
        <f t="shared" ref="C21:G21" si="0">(C2+C12)/2</f>
        <v>0.47309000000000001</v>
      </c>
      <c r="D21" s="1">
        <f t="shared" si="0"/>
        <v>0.47309000000000001</v>
      </c>
      <c r="E21" s="1">
        <f t="shared" si="0"/>
        <v>0.47755999999999998</v>
      </c>
      <c r="F21" s="1">
        <f t="shared" si="0"/>
        <v>0.48203000000000001</v>
      </c>
      <c r="G21" s="1">
        <f t="shared" si="0"/>
        <v>0.48476999999999998</v>
      </c>
    </row>
    <row r="22" spans="1:7" x14ac:dyDescent="0.2">
      <c r="A22" s="1" t="s">
        <v>0</v>
      </c>
      <c r="B22" s="1">
        <f>(SUM(B6:B10)+SUM(B16:B20))/2</f>
        <v>0.19829999999999998</v>
      </c>
      <c r="C22" s="1">
        <f t="shared" ref="C22:G22" si="1">(SUM(C6:C10)+SUM(C16:C20))/2</f>
        <v>0.19764000000000001</v>
      </c>
      <c r="D22" s="1">
        <f t="shared" si="1"/>
        <v>0.19764000000000001</v>
      </c>
      <c r="E22" s="1">
        <f t="shared" si="1"/>
        <v>0.202845</v>
      </c>
      <c r="F22" s="1">
        <f t="shared" si="1"/>
        <v>0.20805000000000001</v>
      </c>
      <c r="G22" s="1">
        <f t="shared" si="1"/>
        <v>0.21055000000000001</v>
      </c>
    </row>
    <row r="23" spans="1:7" x14ac:dyDescent="0.2">
      <c r="A23" s="1" t="s">
        <v>1</v>
      </c>
      <c r="B23" s="1">
        <f>B22/B21</f>
        <v>0.42003812751535685</v>
      </c>
      <c r="C23" s="1">
        <f t="shared" ref="C23:G23" si="2">C22/C21</f>
        <v>0.41776406180642162</v>
      </c>
      <c r="D23" s="1">
        <f t="shared" si="2"/>
        <v>0.41776406180642162</v>
      </c>
      <c r="E23" s="1">
        <f t="shared" si="2"/>
        <v>0.42475291062903092</v>
      </c>
      <c r="F23" s="1">
        <f t="shared" si="2"/>
        <v>0.43161214032321643</v>
      </c>
      <c r="G23" s="1">
        <f t="shared" si="2"/>
        <v>0.43432968211729278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9594-57B5-BE43-93B7-C498BAFFAF89}">
  <dimension ref="A1:G48"/>
  <sheetViews>
    <sheetView tabSelected="1" workbookViewId="0">
      <selection activeCell="J23" sqref="J23"/>
    </sheetView>
  </sheetViews>
  <sheetFormatPr baseColWidth="10" defaultRowHeight="16" x14ac:dyDescent="0.2"/>
  <cols>
    <col min="1" max="1" width="37" bestFit="1" customWidth="1"/>
  </cols>
  <sheetData>
    <row r="1" spans="1:7" x14ac:dyDescent="0.2">
      <c r="A1" s="1"/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 x14ac:dyDescent="0.2">
      <c r="A2" s="1" t="s">
        <v>2</v>
      </c>
      <c r="B2" s="1">
        <v>0.47210000000000002</v>
      </c>
      <c r="C2" s="1">
        <v>0.47309000000000001</v>
      </c>
      <c r="D2" s="1">
        <v>0.47309000000000001</v>
      </c>
      <c r="E2" s="1">
        <v>0.47309000000000001</v>
      </c>
      <c r="F2" s="1">
        <v>0.48203000000000001</v>
      </c>
      <c r="G2" s="1">
        <v>0.48476999999999998</v>
      </c>
    </row>
    <row r="3" spans="1:7" x14ac:dyDescent="0.2">
      <c r="A3" s="1" t="s">
        <v>20</v>
      </c>
      <c r="B3" s="1">
        <v>1.704E-2</v>
      </c>
      <c r="C3" s="1">
        <v>1.704E-2</v>
      </c>
      <c r="D3" s="1">
        <v>1.704E-2</v>
      </c>
      <c r="E3" s="1">
        <v>1.704E-2</v>
      </c>
      <c r="F3" s="1">
        <v>2.1479999999999999E-2</v>
      </c>
      <c r="G3" s="1">
        <v>1.917E-2</v>
      </c>
    </row>
    <row r="4" spans="1:7" x14ac:dyDescent="0.2">
      <c r="A4" s="1" t="s">
        <v>21</v>
      </c>
      <c r="B4" s="1">
        <v>2.0199999999999999E-2</v>
      </c>
      <c r="C4" s="1">
        <v>3.1519999999999999E-2</v>
      </c>
      <c r="D4" s="1">
        <v>3.1519999999999999E-2</v>
      </c>
      <c r="E4" s="1">
        <v>3.1519999999999999E-2</v>
      </c>
      <c r="F4" s="1">
        <v>3.0769999999999999E-2</v>
      </c>
      <c r="G4" s="1">
        <v>2.8719999999999999E-2</v>
      </c>
    </row>
    <row r="5" spans="1:7" x14ac:dyDescent="0.2">
      <c r="A5" s="1"/>
      <c r="B5" s="1">
        <v>0.29220000000000002</v>
      </c>
      <c r="C5" s="1">
        <v>0.28071000000000002</v>
      </c>
      <c r="D5" s="1">
        <v>0.28071000000000002</v>
      </c>
      <c r="E5" s="1">
        <v>0.28071000000000002</v>
      </c>
      <c r="F5" s="1">
        <v>0.25768000000000002</v>
      </c>
      <c r="G5" s="1">
        <v>0.25679000000000002</v>
      </c>
    </row>
    <row r="6" spans="1:7" x14ac:dyDescent="0.2">
      <c r="A6" s="1" t="s">
        <v>8</v>
      </c>
      <c r="B6" s="1">
        <v>9.7699999999999995E-2</v>
      </c>
      <c r="C6" s="1">
        <v>9.8030000000000006E-2</v>
      </c>
      <c r="D6" s="1">
        <v>9.8030000000000006E-2</v>
      </c>
      <c r="E6" s="1">
        <v>9.8030000000000006E-2</v>
      </c>
      <c r="F6" s="1">
        <v>8.7489999999999998E-2</v>
      </c>
      <c r="G6" s="1">
        <v>6.3329999999999997E-2</v>
      </c>
    </row>
    <row r="7" spans="1:7" x14ac:dyDescent="0.2">
      <c r="A7" s="1"/>
      <c r="B7" s="1">
        <v>1.0500000000000001E-2</v>
      </c>
      <c r="C7" s="1">
        <v>6.5399999999999998E-3</v>
      </c>
      <c r="D7" s="1">
        <v>6.5399999999999998E-3</v>
      </c>
      <c r="E7" s="1">
        <v>6.5399999999999998E-3</v>
      </c>
      <c r="F7" s="1">
        <v>5.8100000000000001E-3</v>
      </c>
      <c r="G7" s="1">
        <v>5.1799999999999997E-3</v>
      </c>
    </row>
    <row r="8" spans="1:7" x14ac:dyDescent="0.2">
      <c r="A8" s="1"/>
      <c r="B8" s="1"/>
      <c r="C8" s="1"/>
      <c r="D8" s="1"/>
      <c r="E8" s="1"/>
      <c r="F8" s="1"/>
      <c r="G8" s="1">
        <v>1.225E-2</v>
      </c>
    </row>
    <row r="9" spans="1:7" x14ac:dyDescent="0.2">
      <c r="A9" s="1"/>
      <c r="B9" s="1"/>
      <c r="C9" s="1"/>
      <c r="D9" s="1"/>
      <c r="E9" s="1"/>
      <c r="F9" s="1"/>
      <c r="G9" s="1">
        <v>1.2999999999999999E-4</v>
      </c>
    </row>
    <row r="10" spans="1:7" x14ac:dyDescent="0.2">
      <c r="A10" s="1" t="s">
        <v>9</v>
      </c>
      <c r="B10" s="1">
        <v>9.01E-2</v>
      </c>
      <c r="C10" s="1">
        <v>9.307E-2</v>
      </c>
      <c r="D10" s="1">
        <v>9.307E-2</v>
      </c>
      <c r="E10" s="1">
        <v>9.307E-2</v>
      </c>
      <c r="F10" s="1">
        <v>0.11475</v>
      </c>
      <c r="G10" s="1">
        <v>0.12966</v>
      </c>
    </row>
    <row r="11" spans="1:7" x14ac:dyDescent="0.2">
      <c r="A11" s="1" t="s">
        <v>19</v>
      </c>
      <c r="B11" s="1"/>
      <c r="C11" s="1"/>
      <c r="D11" s="1"/>
      <c r="E11" s="1"/>
      <c r="F11" s="1"/>
      <c r="G11" s="1"/>
    </row>
    <row r="12" spans="1:7" x14ac:dyDescent="0.2">
      <c r="A12" s="1" t="s">
        <v>2</v>
      </c>
      <c r="B12" s="1">
        <v>0.47210000000000002</v>
      </c>
      <c r="C12" s="1">
        <v>0.47309000000000001</v>
      </c>
      <c r="D12" s="1">
        <v>0.47309000000000001</v>
      </c>
      <c r="E12" s="1">
        <v>0.48203000000000001</v>
      </c>
      <c r="F12" s="1">
        <v>0.48203000000000001</v>
      </c>
      <c r="G12" s="1">
        <v>0.48476999999999998</v>
      </c>
    </row>
    <row r="13" spans="1:7" x14ac:dyDescent="0.2">
      <c r="A13" s="1" t="s">
        <v>20</v>
      </c>
      <c r="B13" s="1">
        <v>1.704E-2</v>
      </c>
      <c r="C13" s="1">
        <v>1.704E-2</v>
      </c>
      <c r="D13" s="1">
        <v>1.704E-2</v>
      </c>
      <c r="E13" s="1">
        <v>2.1479999999999999E-2</v>
      </c>
      <c r="F13" s="1">
        <v>2.1479999999999999E-2</v>
      </c>
      <c r="G13" s="1">
        <v>1.917E-2</v>
      </c>
    </row>
    <row r="14" spans="1:7" x14ac:dyDescent="0.2">
      <c r="A14" s="1" t="s">
        <v>21</v>
      </c>
      <c r="B14" s="1">
        <v>2.0199999999999999E-2</v>
      </c>
      <c r="C14" s="1">
        <v>3.1519999999999999E-2</v>
      </c>
      <c r="D14" s="1">
        <v>3.1519999999999999E-2</v>
      </c>
      <c r="E14" s="1">
        <v>3.0769999999999999E-2</v>
      </c>
      <c r="F14" s="1">
        <v>3.0769999999999999E-2</v>
      </c>
      <c r="G14" s="1">
        <v>2.8719999999999999E-2</v>
      </c>
    </row>
    <row r="15" spans="1:7" x14ac:dyDescent="0.2">
      <c r="A15" s="1"/>
      <c r="B15" s="1">
        <v>0.29220000000000002</v>
      </c>
      <c r="C15" s="1">
        <v>0.28071000000000002</v>
      </c>
      <c r="D15" s="1">
        <v>0.28071000000000002</v>
      </c>
      <c r="E15" s="1">
        <v>0.25768000000000002</v>
      </c>
      <c r="F15" s="1">
        <v>0.25768000000000002</v>
      </c>
      <c r="G15" s="1">
        <v>0.25679000000000002</v>
      </c>
    </row>
    <row r="16" spans="1:7" x14ac:dyDescent="0.2">
      <c r="A16" s="1" t="s">
        <v>8</v>
      </c>
      <c r="B16" s="1">
        <v>9.7699999999999995E-2</v>
      </c>
      <c r="C16" s="1">
        <v>9.8030000000000006E-2</v>
      </c>
      <c r="D16" s="1">
        <v>9.8030000000000006E-2</v>
      </c>
      <c r="E16" s="1">
        <v>8.7489999999999998E-2</v>
      </c>
      <c r="F16" s="1">
        <v>8.7489999999999998E-2</v>
      </c>
      <c r="G16" s="1">
        <v>6.3329999999999997E-2</v>
      </c>
    </row>
    <row r="17" spans="1:7" x14ac:dyDescent="0.2">
      <c r="A17" s="1"/>
      <c r="B17" s="1">
        <v>1.0500000000000001E-2</v>
      </c>
      <c r="C17" s="1">
        <v>6.5399999999999998E-3</v>
      </c>
      <c r="D17" s="1">
        <v>6.5399999999999998E-3</v>
      </c>
      <c r="E17" s="1">
        <v>5.8100000000000001E-3</v>
      </c>
      <c r="F17" s="1">
        <v>5.8100000000000001E-3</v>
      </c>
      <c r="G17" s="1">
        <v>5.1799999999999997E-3</v>
      </c>
    </row>
    <row r="18" spans="1:7" x14ac:dyDescent="0.2">
      <c r="A18" s="1"/>
      <c r="B18" s="1"/>
      <c r="C18" s="1"/>
      <c r="D18" s="1"/>
      <c r="E18" s="1"/>
      <c r="F18" s="1"/>
      <c r="G18" s="1">
        <v>1.225E-2</v>
      </c>
    </row>
    <row r="19" spans="1:7" x14ac:dyDescent="0.2">
      <c r="A19" s="1"/>
      <c r="B19" s="1"/>
      <c r="C19" s="1"/>
      <c r="D19" s="1"/>
      <c r="E19" s="1"/>
      <c r="F19" s="1"/>
      <c r="G19" s="1">
        <v>1.2999999999999999E-4</v>
      </c>
    </row>
    <row r="20" spans="1:7" x14ac:dyDescent="0.2">
      <c r="A20" s="1" t="s">
        <v>9</v>
      </c>
      <c r="B20" s="1">
        <v>9.01E-2</v>
      </c>
      <c r="C20" s="1">
        <v>9.307E-2</v>
      </c>
      <c r="D20" s="1">
        <v>9.307E-2</v>
      </c>
      <c r="E20" s="1">
        <v>0.11475</v>
      </c>
      <c r="F20" s="1">
        <v>0.11475</v>
      </c>
      <c r="G20" s="1">
        <v>0.12966</v>
      </c>
    </row>
    <row r="21" spans="1:7" x14ac:dyDescent="0.2">
      <c r="A21" s="1" t="s">
        <v>22</v>
      </c>
      <c r="B21" s="1">
        <f>(B2+B12)/2</f>
        <v>0.47210000000000002</v>
      </c>
      <c r="C21" s="1">
        <f t="shared" ref="C21:G21" si="0">(C2+C12)/2</f>
        <v>0.47309000000000001</v>
      </c>
      <c r="D21" s="1">
        <f t="shared" si="0"/>
        <v>0.47309000000000001</v>
      </c>
      <c r="E21" s="1">
        <f t="shared" si="0"/>
        <v>0.47755999999999998</v>
      </c>
      <c r="F21" s="1">
        <f t="shared" si="0"/>
        <v>0.48203000000000001</v>
      </c>
      <c r="G21" s="1">
        <f t="shared" si="0"/>
        <v>0.48476999999999998</v>
      </c>
    </row>
    <row r="22" spans="1:7" x14ac:dyDescent="0.2">
      <c r="A22" s="1" t="s">
        <v>23</v>
      </c>
      <c r="B22" s="1">
        <f>(SUM(B6:B10)+SUM(B16:B20))/2</f>
        <v>0.19829999999999998</v>
      </c>
      <c r="C22" s="1">
        <f t="shared" ref="C22:G22" si="1">(SUM(C6:C10)+SUM(C16:C20))/2</f>
        <v>0.19764000000000001</v>
      </c>
      <c r="D22" s="1">
        <f t="shared" si="1"/>
        <v>0.19764000000000001</v>
      </c>
      <c r="E22" s="1">
        <f t="shared" si="1"/>
        <v>0.202845</v>
      </c>
      <c r="F22" s="1">
        <f t="shared" si="1"/>
        <v>0.20805000000000001</v>
      </c>
      <c r="G22" s="1">
        <f t="shared" si="1"/>
        <v>0.21055000000000001</v>
      </c>
    </row>
    <row r="23" spans="1:7" x14ac:dyDescent="0.2">
      <c r="A23" s="1" t="s">
        <v>24</v>
      </c>
      <c r="B23" s="1">
        <f>B22/B21</f>
        <v>0.42003812751535685</v>
      </c>
      <c r="C23" s="1">
        <f t="shared" ref="C23:G23" si="2">C22/C21</f>
        <v>0.41776406180642162</v>
      </c>
      <c r="D23" s="1">
        <f t="shared" si="2"/>
        <v>0.41776406180642162</v>
      </c>
      <c r="E23" s="1">
        <f t="shared" si="2"/>
        <v>0.42475291062903092</v>
      </c>
      <c r="F23" s="1">
        <f t="shared" si="2"/>
        <v>0.43161214032321643</v>
      </c>
      <c r="G23" s="1">
        <f t="shared" si="2"/>
        <v>0.43432968211729278</v>
      </c>
    </row>
    <row r="24" spans="1:7" x14ac:dyDescent="0.2">
      <c r="A24" s="1" t="s">
        <v>19</v>
      </c>
      <c r="B24" s="1"/>
      <c r="C24" s="1"/>
      <c r="D24" s="1"/>
      <c r="E24" s="1"/>
      <c r="F24" s="1"/>
      <c r="G24" s="1"/>
    </row>
    <row r="25" spans="1:7" x14ac:dyDescent="0.2">
      <c r="A25" s="1" t="s">
        <v>6</v>
      </c>
      <c r="B25" s="1">
        <v>0.47002086650000002</v>
      </c>
      <c r="C25" s="1">
        <v>0.47002086650000002</v>
      </c>
      <c r="D25" s="1">
        <v>0.47002086650000002</v>
      </c>
      <c r="E25" s="1">
        <v>0.47002086650000002</v>
      </c>
      <c r="F25" s="1">
        <v>0.45880672249999999</v>
      </c>
      <c r="G25" s="1">
        <v>0.45880672249999999</v>
      </c>
    </row>
    <row r="26" spans="1:7" x14ac:dyDescent="0.2">
      <c r="A26" s="1" t="s">
        <v>13</v>
      </c>
      <c r="B26" s="1">
        <v>1.27036861E-2</v>
      </c>
      <c r="C26" s="1">
        <v>1.27036861E-2</v>
      </c>
      <c r="D26" s="1">
        <v>1.27036861E-2</v>
      </c>
      <c r="E26" s="1">
        <v>1.27036861E-2</v>
      </c>
      <c r="F26" s="1">
        <v>1.2824408299999999E-2</v>
      </c>
      <c r="G26" s="1">
        <v>1.2824408299999999E-2</v>
      </c>
    </row>
    <row r="27" spans="1:7" x14ac:dyDescent="0.2">
      <c r="A27" s="1" t="s">
        <v>14</v>
      </c>
      <c r="B27" s="1">
        <v>0.37570954220000002</v>
      </c>
      <c r="C27" s="1">
        <v>0.37570954220000002</v>
      </c>
      <c r="D27" s="1">
        <v>0.37570954220000002</v>
      </c>
      <c r="E27" s="1">
        <v>0.37570954220000002</v>
      </c>
      <c r="F27" s="1">
        <v>0.33353592659999998</v>
      </c>
      <c r="G27" s="1">
        <v>0.33353592659999998</v>
      </c>
    </row>
    <row r="28" spans="1:7" x14ac:dyDescent="0.2">
      <c r="A28" s="1" t="s">
        <v>15</v>
      </c>
      <c r="B28" s="1">
        <v>1.1516259999999999E-4</v>
      </c>
      <c r="C28" s="1">
        <v>1.1516259999999999E-4</v>
      </c>
      <c r="D28" s="1">
        <v>1.1516259999999999E-4</v>
      </c>
      <c r="E28" s="1">
        <v>1.1516259999999999E-4</v>
      </c>
      <c r="F28" s="1">
        <v>1.3264329999999999E-4</v>
      </c>
      <c r="G28" s="1">
        <v>1.3264329999999999E-4</v>
      </c>
    </row>
    <row r="29" spans="1:7" x14ac:dyDescent="0.2">
      <c r="A29" s="1" t="s">
        <v>16</v>
      </c>
      <c r="B29" s="1">
        <v>6.4652649500000006E-2</v>
      </c>
      <c r="C29" s="1">
        <v>6.4652649500000006E-2</v>
      </c>
      <c r="D29" s="1">
        <v>6.4652649500000006E-2</v>
      </c>
      <c r="E29" s="1">
        <v>6.4652649500000006E-2</v>
      </c>
      <c r="F29" s="1">
        <v>8.38539747E-2</v>
      </c>
      <c r="G29" s="1">
        <v>8.38539747E-2</v>
      </c>
    </row>
    <row r="30" spans="1:7" x14ac:dyDescent="0.2">
      <c r="A30" s="1" t="s">
        <v>17</v>
      </c>
      <c r="B30" s="1">
        <v>1.4872209799999999E-2</v>
      </c>
      <c r="C30" s="1">
        <v>1.4872209799999999E-2</v>
      </c>
      <c r="D30" s="1">
        <v>1.4872209799999999E-2</v>
      </c>
      <c r="E30" s="1">
        <v>1.4872209799999999E-2</v>
      </c>
      <c r="F30" s="1">
        <v>2.7463663700000002E-2</v>
      </c>
      <c r="G30" s="1">
        <v>2.7463663700000002E-2</v>
      </c>
    </row>
    <row r="31" spans="1:7" x14ac:dyDescent="0.2">
      <c r="A31" s="1" t="s">
        <v>9</v>
      </c>
      <c r="B31" s="1">
        <v>6.1925883299999998E-2</v>
      </c>
      <c r="C31" s="1">
        <v>6.1925883299999998E-2</v>
      </c>
      <c r="D31" s="1">
        <v>6.1925883299999998E-2</v>
      </c>
      <c r="E31" s="1">
        <v>6.1925883299999998E-2</v>
      </c>
      <c r="F31" s="1">
        <v>8.3382660900000002E-2</v>
      </c>
      <c r="G31" s="1">
        <v>8.3382660900000002E-2</v>
      </c>
    </row>
    <row r="32" spans="1:7" x14ac:dyDescent="0.2">
      <c r="A32" s="1" t="s">
        <v>18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</row>
    <row r="33" spans="1:7" x14ac:dyDescent="0.2">
      <c r="A33" s="1" t="s">
        <v>19</v>
      </c>
      <c r="B33" s="1"/>
      <c r="C33" s="1"/>
      <c r="D33" s="1"/>
      <c r="E33" s="1"/>
      <c r="F33" s="1"/>
      <c r="G33" s="1"/>
    </row>
    <row r="34" spans="1:7" x14ac:dyDescent="0.2">
      <c r="A34" s="1" t="s">
        <v>6</v>
      </c>
      <c r="B34" s="1">
        <v>0.47002086650000002</v>
      </c>
      <c r="C34" s="1">
        <v>0.47002086650000002</v>
      </c>
      <c r="D34" s="1">
        <v>0.47002086650000002</v>
      </c>
      <c r="E34" s="1">
        <v>0.45880672249999999</v>
      </c>
      <c r="F34" s="1">
        <v>0.45880672249999999</v>
      </c>
      <c r="G34" s="1">
        <v>0.45880672249999999</v>
      </c>
    </row>
    <row r="35" spans="1:7" x14ac:dyDescent="0.2">
      <c r="A35" s="1" t="s">
        <v>13</v>
      </c>
      <c r="B35" s="1">
        <v>1.27036861E-2</v>
      </c>
      <c r="C35" s="1">
        <v>1.27036861E-2</v>
      </c>
      <c r="D35" s="1">
        <v>1.27036861E-2</v>
      </c>
      <c r="E35" s="1">
        <v>1.2824408299999999E-2</v>
      </c>
      <c r="F35" s="1">
        <v>1.2824408299999999E-2</v>
      </c>
      <c r="G35" s="1">
        <v>1.2824408299999999E-2</v>
      </c>
    </row>
    <row r="36" spans="1:7" x14ac:dyDescent="0.2">
      <c r="A36" s="1" t="s">
        <v>14</v>
      </c>
      <c r="B36" s="1">
        <v>0.37570954220000002</v>
      </c>
      <c r="C36" s="1">
        <v>0.37570954220000002</v>
      </c>
      <c r="D36" s="1">
        <v>0.37570954220000002</v>
      </c>
      <c r="E36" s="1">
        <v>0.33353592659999998</v>
      </c>
      <c r="F36" s="1">
        <v>0.33353592659999998</v>
      </c>
      <c r="G36" s="1">
        <v>0.33353592659999998</v>
      </c>
    </row>
    <row r="37" spans="1:7" x14ac:dyDescent="0.2">
      <c r="A37" s="1" t="s">
        <v>15</v>
      </c>
      <c r="B37" s="1">
        <v>1.1516259999999999E-4</v>
      </c>
      <c r="C37" s="1">
        <v>1.1516259999999999E-4</v>
      </c>
      <c r="D37" s="1">
        <v>1.1516259999999999E-4</v>
      </c>
      <c r="E37" s="1">
        <v>1.3264329999999999E-4</v>
      </c>
      <c r="F37" s="1">
        <v>1.3264329999999999E-4</v>
      </c>
      <c r="G37" s="1">
        <v>1.3264329999999999E-4</v>
      </c>
    </row>
    <row r="38" spans="1:7" x14ac:dyDescent="0.2">
      <c r="A38" s="1" t="s">
        <v>16</v>
      </c>
      <c r="B38" s="1">
        <v>6.4652649500000006E-2</v>
      </c>
      <c r="C38" s="1">
        <v>6.4652649500000006E-2</v>
      </c>
      <c r="D38" s="1">
        <v>6.4652649500000006E-2</v>
      </c>
      <c r="E38" s="1">
        <v>8.38539747E-2</v>
      </c>
      <c r="F38" s="1">
        <v>8.38539747E-2</v>
      </c>
      <c r="G38" s="1">
        <v>8.38539747E-2</v>
      </c>
    </row>
    <row r="39" spans="1:7" x14ac:dyDescent="0.2">
      <c r="A39" s="1" t="s">
        <v>17</v>
      </c>
      <c r="B39" s="1">
        <v>1.4872209799999999E-2</v>
      </c>
      <c r="C39" s="1">
        <v>1.4872209799999999E-2</v>
      </c>
      <c r="D39" s="1">
        <v>1.4872209799999999E-2</v>
      </c>
      <c r="E39" s="1">
        <v>2.7463663700000002E-2</v>
      </c>
      <c r="F39" s="1">
        <v>2.7463663700000002E-2</v>
      </c>
      <c r="G39" s="1">
        <v>2.7463663700000002E-2</v>
      </c>
    </row>
    <row r="40" spans="1:7" x14ac:dyDescent="0.2">
      <c r="A40" s="1" t="s">
        <v>9</v>
      </c>
      <c r="B40" s="1">
        <v>6.1925883299999998E-2</v>
      </c>
      <c r="C40" s="1">
        <v>6.1925883299999998E-2</v>
      </c>
      <c r="D40" s="1">
        <v>6.1925883299999998E-2</v>
      </c>
      <c r="E40" s="1">
        <v>8.3382660900000002E-2</v>
      </c>
      <c r="F40" s="1">
        <v>8.3382660900000002E-2</v>
      </c>
      <c r="G40" s="1">
        <v>8.3382660900000002E-2</v>
      </c>
    </row>
    <row r="41" spans="1:7" x14ac:dyDescent="0.2">
      <c r="A41" s="1" t="s">
        <v>18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</row>
    <row r="42" spans="1:7" x14ac:dyDescent="0.2">
      <c r="A42" s="1" t="s">
        <v>25</v>
      </c>
      <c r="B42" s="1">
        <f>(B25+B34)/2</f>
        <v>0.47002086650000002</v>
      </c>
      <c r="C42" s="1">
        <f t="shared" ref="C42:G42" si="3">(C25+C34)/2</f>
        <v>0.47002086650000002</v>
      </c>
      <c r="D42" s="1">
        <f t="shared" si="3"/>
        <v>0.47002086650000002</v>
      </c>
      <c r="E42" s="1">
        <f t="shared" si="3"/>
        <v>0.46441379449999998</v>
      </c>
      <c r="F42" s="1">
        <f t="shared" si="3"/>
        <v>0.45880672249999999</v>
      </c>
      <c r="G42" s="1">
        <f t="shared" si="3"/>
        <v>0.45880672249999999</v>
      </c>
    </row>
    <row r="43" spans="1:7" x14ac:dyDescent="0.2">
      <c r="A43" s="1" t="s">
        <v>26</v>
      </c>
      <c r="B43" s="1">
        <f>(B30+B31+B29+B28+B37+B38+B39+B40)/2</f>
        <v>0.14156590520000001</v>
      </c>
      <c r="C43" s="1">
        <f t="shared" ref="C43:G43" si="4">(C30+C31+C29+C28+C37+C38+C39+C40)/2</f>
        <v>0.14156590520000001</v>
      </c>
      <c r="D43" s="1">
        <f t="shared" si="4"/>
        <v>0.14156590520000001</v>
      </c>
      <c r="E43" s="1">
        <f t="shared" si="4"/>
        <v>0.16819942390000003</v>
      </c>
      <c r="F43" s="1">
        <f t="shared" si="4"/>
        <v>0.1948329426</v>
      </c>
      <c r="G43" s="1">
        <f t="shared" si="4"/>
        <v>0.1948329426</v>
      </c>
    </row>
    <row r="44" spans="1:7" x14ac:dyDescent="0.2">
      <c r="A44" s="1" t="s">
        <v>27</v>
      </c>
      <c r="B44" s="1">
        <f>B43/B42</f>
        <v>0.30119068171200014</v>
      </c>
      <c r="C44" s="1">
        <f t="shared" ref="C44:G44" si="5">C43/C42</f>
        <v>0.30119068171200014</v>
      </c>
      <c r="D44" s="1">
        <f t="shared" si="5"/>
        <v>0.30119068171200014</v>
      </c>
      <c r="E44" s="1">
        <f t="shared" si="5"/>
        <v>0.36217577059933787</v>
      </c>
      <c r="F44" s="1">
        <f t="shared" si="5"/>
        <v>0.42465145571183299</v>
      </c>
      <c r="G44" s="1">
        <f t="shared" si="5"/>
        <v>0.42465145571183299</v>
      </c>
    </row>
    <row r="45" spans="1:7" x14ac:dyDescent="0.2">
      <c r="A45" s="1" t="s">
        <v>19</v>
      </c>
      <c r="B45" s="1"/>
      <c r="C45" s="1"/>
      <c r="D45" s="1"/>
      <c r="E45" s="1"/>
      <c r="F45" s="1"/>
      <c r="G45" s="1"/>
    </row>
    <row r="46" spans="1:7" x14ac:dyDescent="0.2">
      <c r="A46" s="1" t="s">
        <v>3</v>
      </c>
      <c r="B46" s="1">
        <f>(B21+B42)/2</f>
        <v>0.47106043325000002</v>
      </c>
      <c r="C46" s="1">
        <f>(C21+C42)/2</f>
        <v>0.47155543325000004</v>
      </c>
      <c r="D46" s="1">
        <f>(D21+D42)/2</f>
        <v>0.47155543325000004</v>
      </c>
      <c r="E46" s="1">
        <f>(E21+E42)/2</f>
        <v>0.47098689724999998</v>
      </c>
      <c r="F46" s="1">
        <f>(F21+F42)/2</f>
        <v>0.47041836125000003</v>
      </c>
      <c r="G46" s="1">
        <f>(G21+G42)/2</f>
        <v>0.47178836125000001</v>
      </c>
    </row>
    <row r="47" spans="1:7" x14ac:dyDescent="0.2">
      <c r="A47" s="1" t="s">
        <v>0</v>
      </c>
      <c r="B47" s="1">
        <f>(B22+B43)/2</f>
        <v>0.16993295259999999</v>
      </c>
      <c r="C47" s="1">
        <f>(C22+C43)/2</f>
        <v>0.16960295260000002</v>
      </c>
      <c r="D47" s="1">
        <f>(D22+D43)/2</f>
        <v>0.16960295260000002</v>
      </c>
      <c r="E47" s="1">
        <f>(E22+E43)/2</f>
        <v>0.18552221195000002</v>
      </c>
      <c r="F47" s="1">
        <f>(F22+F43)/2</f>
        <v>0.20144147130000001</v>
      </c>
      <c r="G47" s="1">
        <f>(G22+G43)/2</f>
        <v>0.20269147130000001</v>
      </c>
    </row>
    <row r="48" spans="1:7" x14ac:dyDescent="0.2">
      <c r="A48" s="1" t="s">
        <v>1</v>
      </c>
      <c r="B48" s="1">
        <f>(B23+B44)/2</f>
        <v>0.3606144046136785</v>
      </c>
      <c r="C48" s="1">
        <f>(C23+C44)/2</f>
        <v>0.35947737175921091</v>
      </c>
      <c r="D48" s="1">
        <f>(D23+D44)/2</f>
        <v>0.35947737175921091</v>
      </c>
      <c r="E48" s="1">
        <f>(E23+E44)/2</f>
        <v>0.39346434061418439</v>
      </c>
      <c r="F48" s="1">
        <f>(F23+F44)/2</f>
        <v>0.42813179801752471</v>
      </c>
      <c r="G48" s="1">
        <f>(G23+G44)/2</f>
        <v>0.42949056891456289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Houston</vt:lpstr>
      <vt:lpstr>North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2025-09-22T20:17:36Z</dcterms:created>
  <dcterms:modified xsi:type="dcterms:W3CDTF">2025-10-10T13:47:20Z</dcterms:modified>
</cp:coreProperties>
</file>