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Paper/202508_datacenter/rider/PJM/"/>
    </mc:Choice>
  </mc:AlternateContent>
  <xr:revisionPtr revIDLastSave="0" documentId="13_ncr:1_{CC6D2500-BD21-D949-A92C-452DD9B4DFA8}" xr6:coauthVersionLast="47" xr6:coauthVersionMax="47" xr10:uidLastSave="{00000000-0000-0000-0000-000000000000}"/>
  <bookViews>
    <workbookView xWindow="0" yWindow="500" windowWidth="38400" windowHeight="21100" xr2:uid="{08CDB012-30B4-7842-ADAB-7B261DF56280}"/>
  </bookViews>
  <sheets>
    <sheet name="AECO" sheetId="3" r:id="rId1"/>
    <sheet name="AEP" sheetId="4" r:id="rId2"/>
    <sheet name="APS" sheetId="5" r:id="rId3"/>
    <sheet name="ATSI" sheetId="6" r:id="rId4"/>
    <sheet name="BGE" sheetId="7" r:id="rId5"/>
    <sheet name="COMED" sheetId="8" r:id="rId6"/>
    <sheet name="DAY" sheetId="9" r:id="rId7"/>
    <sheet name="DOEK" sheetId="10" r:id="rId8"/>
    <sheet name="DOM" sheetId="1" r:id="rId9"/>
    <sheet name="DPL" sheetId="11" r:id="rId10"/>
    <sheet name="DUQ" sheetId="12" r:id="rId11"/>
    <sheet name="JCPL" sheetId="13" r:id="rId12"/>
    <sheet name="METED" sheetId="14" r:id="rId13"/>
    <sheet name="PECO" sheetId="15" r:id="rId14"/>
    <sheet name="PENELEC" sheetId="16" r:id="rId15"/>
    <sheet name="PEPCO" sheetId="17" r:id="rId16"/>
    <sheet name="PPL" sheetId="18" r:id="rId17"/>
    <sheet name="PSEG" sheetId="19" r:id="rId18"/>
    <sheet name="RECO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9" l="1"/>
  <c r="D13" i="19"/>
  <c r="E13" i="19"/>
  <c r="F13" i="19"/>
  <c r="G13" i="19"/>
  <c r="B13" i="19"/>
  <c r="C12" i="19"/>
  <c r="D12" i="19"/>
  <c r="E12" i="19"/>
  <c r="F12" i="19"/>
  <c r="G12" i="19"/>
  <c r="B12" i="19"/>
  <c r="C16" i="17"/>
  <c r="D16" i="17"/>
  <c r="E16" i="17"/>
  <c r="F16" i="17"/>
  <c r="G16" i="17"/>
  <c r="B16" i="17"/>
  <c r="C15" i="17"/>
  <c r="D15" i="17"/>
  <c r="E15" i="17"/>
  <c r="E17" i="17" s="1"/>
  <c r="F15" i="17"/>
  <c r="G15" i="17"/>
  <c r="B15" i="17"/>
  <c r="C17" i="15"/>
  <c r="D17" i="15"/>
  <c r="E17" i="15"/>
  <c r="F17" i="15"/>
  <c r="G17" i="15"/>
  <c r="B17" i="15"/>
  <c r="B18" i="15" s="1"/>
  <c r="C16" i="15"/>
  <c r="D16" i="15"/>
  <c r="E16" i="15"/>
  <c r="F16" i="15"/>
  <c r="G16" i="15"/>
  <c r="B16" i="15"/>
  <c r="C7" i="13"/>
  <c r="D7" i="13"/>
  <c r="E7" i="13"/>
  <c r="F7" i="13"/>
  <c r="G7" i="13"/>
  <c r="B7" i="13"/>
  <c r="C6" i="13"/>
  <c r="D6" i="13"/>
  <c r="E6" i="13"/>
  <c r="F6" i="13"/>
  <c r="G6" i="13"/>
  <c r="B6" i="13"/>
  <c r="C21" i="12"/>
  <c r="D21" i="12"/>
  <c r="E21" i="12"/>
  <c r="F21" i="12"/>
  <c r="G21" i="12"/>
  <c r="B21" i="12"/>
  <c r="C20" i="12"/>
  <c r="D20" i="12"/>
  <c r="E20" i="12"/>
  <c r="F20" i="12"/>
  <c r="G20" i="12"/>
  <c r="B20" i="12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C23" i="11"/>
  <c r="D23" i="11"/>
  <c r="E23" i="11"/>
  <c r="F23" i="11"/>
  <c r="G23" i="11"/>
  <c r="B23" i="11"/>
  <c r="B24" i="11" s="1"/>
  <c r="C22" i="11"/>
  <c r="D22" i="11"/>
  <c r="E22" i="11"/>
  <c r="F22" i="11"/>
  <c r="G22" i="11"/>
  <c r="B22" i="11"/>
  <c r="C8" i="11"/>
  <c r="D8" i="11"/>
  <c r="E8" i="11"/>
  <c r="F8" i="11"/>
  <c r="G8" i="11"/>
  <c r="B8" i="11"/>
  <c r="C7" i="11"/>
  <c r="D7" i="11"/>
  <c r="E7" i="11"/>
  <c r="F7" i="11"/>
  <c r="G7" i="11"/>
  <c r="B7" i="11"/>
  <c r="C6" i="8"/>
  <c r="D6" i="8"/>
  <c r="E6" i="8"/>
  <c r="F6" i="8"/>
  <c r="G6" i="8"/>
  <c r="B6" i="8"/>
  <c r="B7" i="8" s="1"/>
  <c r="C5" i="8"/>
  <c r="D5" i="8"/>
  <c r="E5" i="8"/>
  <c r="F5" i="8"/>
  <c r="G5" i="8"/>
  <c r="B5" i="8"/>
  <c r="B10" i="7"/>
  <c r="C9" i="7"/>
  <c r="D9" i="7"/>
  <c r="E9" i="7"/>
  <c r="F9" i="7"/>
  <c r="F10" i="7" s="1"/>
  <c r="G9" i="7"/>
  <c r="G10" i="7" s="1"/>
  <c r="B9" i="7"/>
  <c r="C8" i="7"/>
  <c r="D8" i="7"/>
  <c r="E8" i="7"/>
  <c r="F8" i="7"/>
  <c r="G8" i="7"/>
  <c r="B8" i="7"/>
  <c r="C24" i="4"/>
  <c r="C25" i="4" s="1"/>
  <c r="C29" i="4" s="1"/>
  <c r="D24" i="4"/>
  <c r="D25" i="4" s="1"/>
  <c r="D29" i="4" s="1"/>
  <c r="E24" i="4"/>
  <c r="F24" i="4"/>
  <c r="G24" i="4"/>
  <c r="B24" i="4"/>
  <c r="C23" i="4"/>
  <c r="D23" i="4"/>
  <c r="E23" i="4"/>
  <c r="E25" i="4" s="1"/>
  <c r="E29" i="4" s="1"/>
  <c r="F23" i="4"/>
  <c r="G23" i="4"/>
  <c r="B23" i="4"/>
  <c r="C13" i="4"/>
  <c r="C28" i="4" s="1"/>
  <c r="D13" i="4"/>
  <c r="D28" i="4" s="1"/>
  <c r="E13" i="4"/>
  <c r="E28" i="4" s="1"/>
  <c r="F13" i="4"/>
  <c r="F28" i="4" s="1"/>
  <c r="G13" i="4"/>
  <c r="G28" i="4" s="1"/>
  <c r="B13" i="4"/>
  <c r="B14" i="4" s="1"/>
  <c r="C12" i="4"/>
  <c r="C27" i="4" s="1"/>
  <c r="D12" i="4"/>
  <c r="D27" i="4" s="1"/>
  <c r="E12" i="4"/>
  <c r="E27" i="4" s="1"/>
  <c r="F12" i="4"/>
  <c r="F27" i="4" s="1"/>
  <c r="G12" i="4"/>
  <c r="G27" i="4" s="1"/>
  <c r="B12" i="4"/>
  <c r="B27" i="4" s="1"/>
  <c r="B10" i="3"/>
  <c r="C11" i="3"/>
  <c r="D11" i="3"/>
  <c r="E11" i="3"/>
  <c r="F11" i="3"/>
  <c r="G11" i="3"/>
  <c r="B11" i="3"/>
  <c r="C10" i="3"/>
  <c r="D10" i="3"/>
  <c r="E10" i="3"/>
  <c r="E12" i="3" s="1"/>
  <c r="F10" i="3"/>
  <c r="G10" i="3"/>
  <c r="C11" i="20"/>
  <c r="D11" i="20"/>
  <c r="E11" i="20"/>
  <c r="F11" i="20"/>
  <c r="G11" i="20"/>
  <c r="B11" i="20"/>
  <c r="C10" i="20"/>
  <c r="D10" i="20"/>
  <c r="E10" i="20"/>
  <c r="F10" i="20"/>
  <c r="G10" i="20"/>
  <c r="B10" i="20"/>
  <c r="C9" i="20"/>
  <c r="D9" i="20"/>
  <c r="E9" i="20"/>
  <c r="F9" i="20"/>
  <c r="G9" i="20"/>
  <c r="B9" i="20"/>
  <c r="C14" i="19"/>
  <c r="D14" i="19"/>
  <c r="E14" i="19"/>
  <c r="B14" i="19"/>
  <c r="C8" i="18"/>
  <c r="D8" i="18"/>
  <c r="E8" i="18"/>
  <c r="F8" i="18"/>
  <c r="G8" i="18"/>
  <c r="B8" i="18"/>
  <c r="C7" i="18"/>
  <c r="D7" i="18"/>
  <c r="E7" i="18"/>
  <c r="F7" i="18"/>
  <c r="G7" i="18"/>
  <c r="B7" i="18"/>
  <c r="C6" i="18"/>
  <c r="D6" i="18"/>
  <c r="E6" i="18"/>
  <c r="F6" i="18"/>
  <c r="G6" i="18"/>
  <c r="B6" i="18"/>
  <c r="C17" i="17"/>
  <c r="D17" i="17"/>
  <c r="B17" i="17"/>
  <c r="C7" i="16"/>
  <c r="D7" i="16"/>
  <c r="E7" i="16"/>
  <c r="F7" i="16"/>
  <c r="G7" i="16"/>
  <c r="B7" i="16"/>
  <c r="C6" i="16"/>
  <c r="D6" i="16"/>
  <c r="E6" i="16"/>
  <c r="F6" i="16"/>
  <c r="G6" i="16"/>
  <c r="B6" i="16"/>
  <c r="C5" i="16"/>
  <c r="D5" i="16"/>
  <c r="E5" i="16"/>
  <c r="F5" i="16"/>
  <c r="G5" i="16"/>
  <c r="B5" i="16"/>
  <c r="C18" i="15"/>
  <c r="D18" i="15"/>
  <c r="E18" i="15"/>
  <c r="C15" i="15"/>
  <c r="D15" i="15"/>
  <c r="E15" i="15"/>
  <c r="F15" i="15"/>
  <c r="G15" i="15"/>
  <c r="C14" i="15"/>
  <c r="D14" i="15"/>
  <c r="E14" i="15"/>
  <c r="F14" i="15"/>
  <c r="G14" i="15"/>
  <c r="C13" i="15"/>
  <c r="D13" i="15"/>
  <c r="E13" i="15"/>
  <c r="F13" i="15"/>
  <c r="G13" i="15"/>
  <c r="C12" i="15"/>
  <c r="D12" i="15"/>
  <c r="E12" i="15"/>
  <c r="F12" i="15"/>
  <c r="G12" i="15"/>
  <c r="B13" i="15"/>
  <c r="B14" i="15"/>
  <c r="B15" i="15"/>
  <c r="B12" i="15"/>
  <c r="C7" i="14"/>
  <c r="D7" i="14"/>
  <c r="E7" i="14"/>
  <c r="F7" i="14"/>
  <c r="G7" i="14"/>
  <c r="B7" i="14"/>
  <c r="C6" i="14"/>
  <c r="D6" i="14"/>
  <c r="E6" i="14"/>
  <c r="F6" i="14"/>
  <c r="G6" i="14"/>
  <c r="B6" i="14"/>
  <c r="C5" i="14"/>
  <c r="D5" i="14"/>
  <c r="E5" i="14"/>
  <c r="F5" i="14"/>
  <c r="G5" i="14"/>
  <c r="B5" i="14"/>
  <c r="C8" i="13"/>
  <c r="D8" i="13"/>
  <c r="E8" i="13"/>
  <c r="B8" i="13"/>
  <c r="C22" i="12"/>
  <c r="D22" i="12"/>
  <c r="E22" i="12"/>
  <c r="F22" i="12"/>
  <c r="B22" i="12"/>
  <c r="C24" i="11"/>
  <c r="D24" i="11"/>
  <c r="E24" i="11"/>
  <c r="F24" i="11"/>
  <c r="C9" i="11"/>
  <c r="D9" i="11"/>
  <c r="E9" i="11"/>
  <c r="B9" i="11"/>
  <c r="F9" i="11"/>
  <c r="G9" i="11"/>
  <c r="C12" i="10"/>
  <c r="D12" i="10"/>
  <c r="E12" i="10"/>
  <c r="F12" i="10"/>
  <c r="G12" i="10"/>
  <c r="B12" i="10"/>
  <c r="C11" i="10"/>
  <c r="D11" i="10"/>
  <c r="E11" i="10"/>
  <c r="F11" i="10"/>
  <c r="G11" i="10"/>
  <c r="B11" i="10"/>
  <c r="C10" i="10"/>
  <c r="D10" i="10"/>
  <c r="E10" i="10"/>
  <c r="F10" i="10"/>
  <c r="G10" i="10"/>
  <c r="B10" i="10"/>
  <c r="B9" i="6"/>
  <c r="B10" i="6" s="1"/>
  <c r="C6" i="5"/>
  <c r="D6" i="5"/>
  <c r="E6" i="5"/>
  <c r="F6" i="5"/>
  <c r="G6" i="5"/>
  <c r="B6" i="5"/>
  <c r="B5" i="5"/>
  <c r="C11" i="9"/>
  <c r="D11" i="9"/>
  <c r="E11" i="9"/>
  <c r="F11" i="9"/>
  <c r="G11" i="9"/>
  <c r="B11" i="9"/>
  <c r="C10" i="9"/>
  <c r="D10" i="9"/>
  <c r="E10" i="9"/>
  <c r="F10" i="9"/>
  <c r="G10" i="9"/>
  <c r="B10" i="9"/>
  <c r="C9" i="9"/>
  <c r="D9" i="9"/>
  <c r="E9" i="9"/>
  <c r="F9" i="9"/>
  <c r="G9" i="9"/>
  <c r="B9" i="9"/>
  <c r="C7" i="8"/>
  <c r="D7" i="8"/>
  <c r="E7" i="8"/>
  <c r="F7" i="8"/>
  <c r="C10" i="7"/>
  <c r="D10" i="7"/>
  <c r="E10" i="7"/>
  <c r="C10" i="6"/>
  <c r="D10" i="6"/>
  <c r="C9" i="6"/>
  <c r="D9" i="6"/>
  <c r="E9" i="6"/>
  <c r="E10" i="6" s="1"/>
  <c r="F9" i="6"/>
  <c r="F10" i="6" s="1"/>
  <c r="G9" i="6"/>
  <c r="G10" i="6" s="1"/>
  <c r="C8" i="6"/>
  <c r="D8" i="6"/>
  <c r="E8" i="6"/>
  <c r="F8" i="6"/>
  <c r="G8" i="6"/>
  <c r="B8" i="6"/>
  <c r="G7" i="5"/>
  <c r="C5" i="5"/>
  <c r="D5" i="5"/>
  <c r="E5" i="5"/>
  <c r="F5" i="5"/>
  <c r="G5" i="5"/>
  <c r="F7" i="5"/>
  <c r="D7" i="5"/>
  <c r="C7" i="5"/>
  <c r="B25" i="4"/>
  <c r="C14" i="4"/>
  <c r="D14" i="4"/>
  <c r="E14" i="4"/>
  <c r="F14" i="4"/>
  <c r="D12" i="3"/>
  <c r="C12" i="3"/>
  <c r="C10" i="1"/>
  <c r="C11" i="1" s="1"/>
  <c r="D10" i="1"/>
  <c r="D11" i="1" s="1"/>
  <c r="E10" i="1"/>
  <c r="E11" i="1" s="1"/>
  <c r="F10" i="1"/>
  <c r="F11" i="1" s="1"/>
  <c r="G10" i="1"/>
  <c r="G11" i="1" s="1"/>
  <c r="B10" i="1"/>
  <c r="B11" i="1" s="1"/>
  <c r="C9" i="1"/>
  <c r="D9" i="1"/>
  <c r="E9" i="1"/>
  <c r="F9" i="1"/>
  <c r="G9" i="1"/>
  <c r="B9" i="1"/>
  <c r="B28" i="4" l="1"/>
  <c r="G14" i="19"/>
  <c r="F14" i="19"/>
  <c r="G17" i="17"/>
  <c r="F17" i="17"/>
  <c r="G18" i="15"/>
  <c r="F18" i="15"/>
  <c r="F8" i="13"/>
  <c r="G8" i="13"/>
  <c r="G22" i="12"/>
  <c r="G24" i="11"/>
  <c r="G28" i="11" s="1"/>
  <c r="F28" i="11"/>
  <c r="E28" i="11"/>
  <c r="D28" i="11"/>
  <c r="C28" i="11"/>
  <c r="G7" i="8"/>
  <c r="G25" i="4"/>
  <c r="F25" i="4"/>
  <c r="F29" i="4"/>
  <c r="B29" i="4"/>
  <c r="G14" i="4"/>
  <c r="G29" i="4" s="1"/>
  <c r="G12" i="3"/>
  <c r="F12" i="3"/>
  <c r="E7" i="5"/>
  <c r="B7" i="5"/>
  <c r="B12" i="3"/>
</calcChain>
</file>

<file path=xl/sharedStrings.xml><?xml version="1.0" encoding="utf-8"?>
<sst xmlns="http://schemas.openxmlformats.org/spreadsheetml/2006/main" count="281" uniqueCount="141">
  <si>
    <t>RES</t>
  </si>
  <si>
    <t>GS-1</t>
  </si>
  <si>
    <t>GS-2</t>
  </si>
  <si>
    <t>GS-3</t>
  </si>
  <si>
    <t>GS-4</t>
  </si>
  <si>
    <t>CHURCH</t>
  </si>
  <si>
    <t>OD LIGHT</t>
  </si>
  <si>
    <t>DC</t>
  </si>
  <si>
    <t>Ratio</t>
  </si>
  <si>
    <t>-</t>
  </si>
  <si>
    <t>Residential</t>
  </si>
  <si>
    <t>MGS Secondary</t>
  </si>
  <si>
    <t>MGS Primary</t>
  </si>
  <si>
    <t>AGS Secondary</t>
  </si>
  <si>
    <t>AGS Primary</t>
  </si>
  <si>
    <t>TGS-Subtransmission</t>
  </si>
  <si>
    <t>DDC</t>
  </si>
  <si>
    <t>TGS-Transmission</t>
  </si>
  <si>
    <t>RU</t>
  </si>
  <si>
    <t>Residential-OH</t>
  </si>
  <si>
    <t>GS Non Demand Secondary-OH</t>
  </si>
  <si>
    <t>GS Non Demand Primary-OH</t>
  </si>
  <si>
    <t>GS Secondary-OH</t>
  </si>
  <si>
    <t>GS Primary-OH</t>
  </si>
  <si>
    <t>GS Transmission-OH</t>
  </si>
  <si>
    <t>Lighting-OH</t>
  </si>
  <si>
    <t>Pilot Secondary-OH</t>
  </si>
  <si>
    <t>Pilot Primary-OH</t>
  </si>
  <si>
    <t>Pilot Transmission-OH</t>
  </si>
  <si>
    <t>DC-OH</t>
  </si>
  <si>
    <t>Ratio-OH</t>
  </si>
  <si>
    <t>RU-OH</t>
  </si>
  <si>
    <t>xxxxxxxxx</t>
  </si>
  <si>
    <t>RS-VA</t>
  </si>
  <si>
    <t>SGS-VA</t>
  </si>
  <si>
    <t>MGS-VA</t>
  </si>
  <si>
    <t>GS-VA</t>
  </si>
  <si>
    <t>LPS-VA</t>
  </si>
  <si>
    <t>SWS-VA</t>
  </si>
  <si>
    <t>OL-VA</t>
  </si>
  <si>
    <t>RU-VA</t>
  </si>
  <si>
    <t>DC-VA</t>
  </si>
  <si>
    <t>Ratio-VA</t>
  </si>
  <si>
    <t>xxxxx</t>
  </si>
  <si>
    <t>Commercial</t>
  </si>
  <si>
    <t>Industrial</t>
  </si>
  <si>
    <t>RS</t>
  </si>
  <si>
    <t>GS</t>
  </si>
  <si>
    <t>GP</t>
  </si>
  <si>
    <t>GSU</t>
  </si>
  <si>
    <t>GT</t>
  </si>
  <si>
    <t>Lighting</t>
  </si>
  <si>
    <t>R</t>
  </si>
  <si>
    <t>RL</t>
  </si>
  <si>
    <t>G/GU</t>
  </si>
  <si>
    <t>SL/PL</t>
  </si>
  <si>
    <t>GL/P</t>
  </si>
  <si>
    <t>Small C&amp;I</t>
  </si>
  <si>
    <t>Large C&amp;I</t>
  </si>
  <si>
    <t>Secondary</t>
  </si>
  <si>
    <t>Primary</t>
  </si>
  <si>
    <t>Primary Substation</t>
  </si>
  <si>
    <t>High Voltage</t>
  </si>
  <si>
    <t>Private Outdoor Lighting</t>
  </si>
  <si>
    <t>Stree Lighting</t>
  </si>
  <si>
    <t>DS</t>
  </si>
  <si>
    <t>EH</t>
  </si>
  <si>
    <t>DM</t>
  </si>
  <si>
    <t>GSFL</t>
  </si>
  <si>
    <t>DP</t>
  </si>
  <si>
    <t>TS</t>
  </si>
  <si>
    <t>R, RSH, SGS</t>
  </si>
  <si>
    <t>MGS-S</t>
  </si>
  <si>
    <t>LGS-S</t>
  </si>
  <si>
    <t>GS-P</t>
  </si>
  <si>
    <t>HPS</t>
  </si>
  <si>
    <t>RU-DE</t>
  </si>
  <si>
    <t>DC-DE</t>
  </si>
  <si>
    <t>Ratio-DE</t>
  </si>
  <si>
    <t>R-TOU-ND</t>
  </si>
  <si>
    <t>SGS-S</t>
  </si>
  <si>
    <t>TN</t>
  </si>
  <si>
    <t>GS-WH</t>
  </si>
  <si>
    <t>GS-SH</t>
  </si>
  <si>
    <t>ORL</t>
  </si>
  <si>
    <t>GS-T</t>
  </si>
  <si>
    <t>OL</t>
  </si>
  <si>
    <t>RU-MD</t>
  </si>
  <si>
    <t>DC-MD</t>
  </si>
  <si>
    <t>Ratio-MD</t>
  </si>
  <si>
    <t>RH</t>
  </si>
  <si>
    <t>RA</t>
  </si>
  <si>
    <t>GM&lt;25 kW</t>
  </si>
  <si>
    <t>GM=&gt;25 kW</t>
  </si>
  <si>
    <t>GMH&lt;25 kW</t>
  </si>
  <si>
    <t>GMH=&gt;25 kW</t>
  </si>
  <si>
    <t>AL</t>
  </si>
  <si>
    <t>SE</t>
  </si>
  <si>
    <t>SM</t>
  </si>
  <si>
    <t>SH</t>
  </si>
  <si>
    <t>UMS</t>
  </si>
  <si>
    <t>PAL</t>
  </si>
  <si>
    <t>GL</t>
  </si>
  <si>
    <t>GLH</t>
  </si>
  <si>
    <t>L</t>
  </si>
  <si>
    <t>HVPS</t>
  </si>
  <si>
    <t>Transmission@34.5kV</t>
  </si>
  <si>
    <t>Transmission@230kV</t>
  </si>
  <si>
    <t>R, RH</t>
  </si>
  <si>
    <t>HT, PD, EP</t>
  </si>
  <si>
    <t>SLE, etc</t>
  </si>
  <si>
    <t>xxxxxx</t>
  </si>
  <si>
    <t>RTM</t>
  </si>
  <si>
    <t>GS&amp;EV</t>
  </si>
  <si>
    <t>T</t>
  </si>
  <si>
    <t>SL</t>
  </si>
  <si>
    <t>MGT-LV</t>
  </si>
  <si>
    <t>MGT-3A</t>
  </si>
  <si>
    <t>GT-LV</t>
  </si>
  <si>
    <t>GT-3A</t>
  </si>
  <si>
    <t>GT-3B</t>
  </si>
  <si>
    <t>RT</t>
  </si>
  <si>
    <t xml:space="preserve">Residential </t>
  </si>
  <si>
    <t>Large C&amp;I - Primary</t>
  </si>
  <si>
    <t>Large C&amp;I - Transmission</t>
  </si>
  <si>
    <t>RHS</t>
  </si>
  <si>
    <t>RLM</t>
  </si>
  <si>
    <t>WH</t>
  </si>
  <si>
    <t>WHS</t>
  </si>
  <si>
    <t>HS</t>
  </si>
  <si>
    <t>PSAL</t>
  </si>
  <si>
    <t>BPL</t>
  </si>
  <si>
    <t>LPL-S</t>
  </si>
  <si>
    <t>GLP</t>
  </si>
  <si>
    <t>SC1/SC5</t>
  </si>
  <si>
    <t>SC2 Secondary</t>
  </si>
  <si>
    <t>SC2 Primary</t>
  </si>
  <si>
    <t>SC3</t>
  </si>
  <si>
    <t>SC4</t>
  </si>
  <si>
    <t>SC6</t>
  </si>
  <si>
    <t>SC7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</si>
</sst>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3" fillId="0" borderId="0" xfId="0" applyFont="1"/>
    <xf numFmtId="0" fontId="0" fillId="0" borderId="0" xfId="0" quotePrefix="1"/>
    <xf numFmtId="4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3AF5-1D8B-0845-B4ED-21F8E67A6210}">
  <dimension ref="A1:G12"/>
  <sheetViews>
    <sheetView tabSelected="1" workbookViewId="0"/>
  </sheetViews>
  <sheetFormatPr baseColWidth="10" defaultRowHeight="16" x14ac:dyDescent="0.2"/>
  <cols>
    <col min="1" max="1" width="18.832031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1599270</v>
      </c>
      <c r="C2">
        <v>1577055</v>
      </c>
      <c r="D2">
        <v>1494325</v>
      </c>
      <c r="E2">
        <v>1480293</v>
      </c>
      <c r="F2">
        <v>1526428</v>
      </c>
      <c r="G2">
        <v>1594532</v>
      </c>
    </row>
    <row r="3" spans="1:7" x14ac:dyDescent="0.2">
      <c r="A3" t="s">
        <v>11</v>
      </c>
      <c r="B3">
        <v>380092</v>
      </c>
      <c r="C3">
        <v>348905</v>
      </c>
      <c r="D3">
        <v>381668</v>
      </c>
      <c r="E3">
        <v>381126</v>
      </c>
      <c r="F3">
        <v>377697</v>
      </c>
      <c r="G3">
        <v>304858</v>
      </c>
    </row>
    <row r="4" spans="1:7" x14ac:dyDescent="0.2">
      <c r="A4" t="s">
        <v>12</v>
      </c>
      <c r="B4">
        <v>8490</v>
      </c>
      <c r="C4">
        <v>8502</v>
      </c>
      <c r="D4">
        <v>6951</v>
      </c>
      <c r="E4">
        <v>13746</v>
      </c>
      <c r="F4">
        <v>13854</v>
      </c>
      <c r="G4">
        <v>17362</v>
      </c>
    </row>
    <row r="5" spans="1:7" x14ac:dyDescent="0.2">
      <c r="A5" t="s">
        <v>13</v>
      </c>
      <c r="B5">
        <v>371009</v>
      </c>
      <c r="C5">
        <v>315412</v>
      </c>
      <c r="D5">
        <v>367955</v>
      </c>
      <c r="E5">
        <v>326250</v>
      </c>
      <c r="F5">
        <v>311642</v>
      </c>
      <c r="G5">
        <v>268304</v>
      </c>
    </row>
    <row r="6" spans="1:7" x14ac:dyDescent="0.2">
      <c r="A6" t="s">
        <v>14</v>
      </c>
      <c r="B6">
        <v>90600</v>
      </c>
      <c r="C6">
        <v>88221</v>
      </c>
      <c r="D6">
        <v>94897</v>
      </c>
      <c r="E6">
        <v>88475</v>
      </c>
      <c r="F6">
        <v>94389</v>
      </c>
      <c r="G6">
        <v>91006</v>
      </c>
    </row>
    <row r="7" spans="1:7" x14ac:dyDescent="0.2">
      <c r="A7" t="s">
        <v>15</v>
      </c>
      <c r="B7">
        <v>103411</v>
      </c>
      <c r="C7">
        <v>91682</v>
      </c>
      <c r="D7">
        <v>87105</v>
      </c>
      <c r="E7">
        <v>85523</v>
      </c>
      <c r="F7">
        <v>92549</v>
      </c>
      <c r="G7">
        <v>78208</v>
      </c>
    </row>
    <row r="8" spans="1:7" x14ac:dyDescent="0.2">
      <c r="A8" t="s">
        <v>17</v>
      </c>
      <c r="B8">
        <v>52222</v>
      </c>
      <c r="C8">
        <v>47950</v>
      </c>
      <c r="D8">
        <v>40277</v>
      </c>
      <c r="E8">
        <v>69336</v>
      </c>
      <c r="F8">
        <v>59918</v>
      </c>
      <c r="G8">
        <v>49239</v>
      </c>
    </row>
    <row r="9" spans="1:7" x14ac:dyDescent="0.2">
      <c r="A9" t="s">
        <v>16</v>
      </c>
      <c r="B9">
        <v>1867</v>
      </c>
      <c r="C9">
        <v>1713</v>
      </c>
      <c r="D9">
        <v>1927</v>
      </c>
      <c r="E9">
        <v>1801</v>
      </c>
      <c r="F9">
        <v>1809</v>
      </c>
      <c r="G9">
        <v>1727</v>
      </c>
    </row>
    <row r="10" spans="1:7" ht="17" x14ac:dyDescent="0.2">
      <c r="A10" s="1" t="s">
        <v>18</v>
      </c>
      <c r="B10">
        <f>B2/SUM(B2:B9)</f>
        <v>0.6134614211720083</v>
      </c>
      <c r="C10">
        <f t="shared" ref="C10:G10" si="0">C2/SUM(C2:C9)</f>
        <v>0.63605289904171913</v>
      </c>
      <c r="D10">
        <f t="shared" si="0"/>
        <v>0.60374206346801451</v>
      </c>
      <c r="E10">
        <f t="shared" si="0"/>
        <v>0.60505323823343071</v>
      </c>
      <c r="F10">
        <f t="shared" si="0"/>
        <v>0.61592084206584707</v>
      </c>
      <c r="G10">
        <f t="shared" si="0"/>
        <v>0.66294201483762927</v>
      </c>
    </row>
    <row r="11" spans="1:7" ht="17" x14ac:dyDescent="0.2">
      <c r="A11" s="1" t="s">
        <v>7</v>
      </c>
      <c r="B11">
        <f>SUM(B5:B9)/SUM(B2:B9)</f>
        <v>0.23748303100813553</v>
      </c>
      <c r="C11">
        <f t="shared" ref="C11:G11" si="1">SUM(C5:C9)/SUM(C2:C9)</f>
        <v>0.21979882554125124</v>
      </c>
      <c r="D11">
        <f t="shared" si="1"/>
        <v>0.23924681983188592</v>
      </c>
      <c r="E11">
        <f t="shared" si="1"/>
        <v>0.23354723999100774</v>
      </c>
      <c r="F11">
        <f t="shared" si="1"/>
        <v>0.22608649687727728</v>
      </c>
      <c r="G11">
        <f t="shared" si="1"/>
        <v>0.20309192112541138</v>
      </c>
    </row>
    <row r="12" spans="1:7" ht="17" x14ac:dyDescent="0.2">
      <c r="A12" s="1" t="s">
        <v>8</v>
      </c>
      <c r="B12">
        <f>B11/B10</f>
        <v>0.38711974838520075</v>
      </c>
      <c r="C12">
        <f t="shared" ref="C12:G12" si="2">C11/C10</f>
        <v>0.34556689525729917</v>
      </c>
      <c r="D12">
        <f t="shared" si="2"/>
        <v>0.39627323373429474</v>
      </c>
      <c r="E12">
        <f t="shared" si="2"/>
        <v>0.38599452946139717</v>
      </c>
      <c r="F12">
        <f t="shared" si="2"/>
        <v>0.36707070362965044</v>
      </c>
      <c r="G12">
        <f t="shared" si="2"/>
        <v>0.30634944924278718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7A75-FEB5-D740-85E5-4EC0DB10F16B}">
  <dimension ref="A1:G29"/>
  <sheetViews>
    <sheetView workbookViewId="0">
      <selection activeCell="F29" sqref="F29"/>
    </sheetView>
  </sheetViews>
  <sheetFormatPr baseColWidth="10" defaultRowHeight="16" x14ac:dyDescent="0.2"/>
  <cols>
    <col min="1" max="1" width="27.1640625" bestFit="1" customWidth="1"/>
    <col min="2" max="2" width="12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19</v>
      </c>
      <c r="B2">
        <v>336663144</v>
      </c>
      <c r="C2">
        <v>414032080</v>
      </c>
      <c r="D2">
        <v>441311725</v>
      </c>
      <c r="E2">
        <v>469620571</v>
      </c>
      <c r="F2">
        <v>624412504</v>
      </c>
      <c r="G2">
        <v>490332300</v>
      </c>
    </row>
    <row r="3" spans="1:7" x14ac:dyDescent="0.2">
      <c r="A3" t="s">
        <v>20</v>
      </c>
      <c r="B3">
        <v>14096979</v>
      </c>
      <c r="C3">
        <v>16823803</v>
      </c>
      <c r="D3">
        <v>19549998</v>
      </c>
      <c r="E3">
        <v>22456448</v>
      </c>
      <c r="F3">
        <v>19964134</v>
      </c>
      <c r="G3">
        <v>21190321</v>
      </c>
    </row>
    <row r="4" spans="1:7" x14ac:dyDescent="0.2">
      <c r="A4" t="s">
        <v>21</v>
      </c>
      <c r="B4">
        <v>77915</v>
      </c>
      <c r="C4">
        <v>119650</v>
      </c>
      <c r="D4">
        <v>271094</v>
      </c>
      <c r="E4">
        <v>236360</v>
      </c>
      <c r="F4">
        <v>256182</v>
      </c>
      <c r="G4">
        <v>295980</v>
      </c>
    </row>
    <row r="5" spans="1:7" x14ac:dyDescent="0.2">
      <c r="A5" t="s">
        <v>22</v>
      </c>
      <c r="B5">
        <v>182300380</v>
      </c>
      <c r="C5">
        <v>211753297</v>
      </c>
      <c r="D5">
        <v>249794511</v>
      </c>
      <c r="E5">
        <v>284123649</v>
      </c>
      <c r="F5">
        <v>237109265</v>
      </c>
      <c r="G5">
        <v>311462472</v>
      </c>
    </row>
    <row r="6" spans="1:7" x14ac:dyDescent="0.2">
      <c r="A6" t="s">
        <v>23</v>
      </c>
      <c r="B6">
        <v>80413243</v>
      </c>
      <c r="C6">
        <v>83977859</v>
      </c>
      <c r="D6">
        <v>103998640</v>
      </c>
      <c r="E6">
        <v>110585599</v>
      </c>
      <c r="F6">
        <v>94543004</v>
      </c>
      <c r="G6">
        <v>136378680</v>
      </c>
    </row>
    <row r="7" spans="1:7" x14ac:dyDescent="0.2">
      <c r="A7" t="s">
        <v>24</v>
      </c>
      <c r="B7">
        <v>86520838</v>
      </c>
      <c r="C7">
        <v>98150734</v>
      </c>
      <c r="D7">
        <v>122489488</v>
      </c>
      <c r="E7">
        <v>145916559</v>
      </c>
      <c r="F7">
        <v>149716957</v>
      </c>
      <c r="G7">
        <v>215512425</v>
      </c>
    </row>
    <row r="8" spans="1:7" x14ac:dyDescent="0.2">
      <c r="A8" t="s">
        <v>25</v>
      </c>
      <c r="B8">
        <v>966953</v>
      </c>
      <c r="C8">
        <v>0</v>
      </c>
      <c r="D8">
        <v>0</v>
      </c>
      <c r="E8">
        <v>4147</v>
      </c>
      <c r="F8">
        <v>2588130</v>
      </c>
      <c r="G8">
        <v>14277</v>
      </c>
    </row>
    <row r="9" spans="1:7" x14ac:dyDescent="0.2">
      <c r="A9" t="s">
        <v>26</v>
      </c>
      <c r="B9">
        <v>40735</v>
      </c>
      <c r="C9">
        <v>110936</v>
      </c>
      <c r="D9">
        <v>155049</v>
      </c>
      <c r="E9">
        <v>246560</v>
      </c>
      <c r="F9">
        <v>293643</v>
      </c>
      <c r="G9">
        <v>124849</v>
      </c>
    </row>
    <row r="10" spans="1:7" x14ac:dyDescent="0.2">
      <c r="A10" t="s">
        <v>27</v>
      </c>
      <c r="B10">
        <v>603065</v>
      </c>
      <c r="C10">
        <v>2517432</v>
      </c>
      <c r="D10">
        <v>1167526</v>
      </c>
      <c r="E10">
        <v>4164887</v>
      </c>
      <c r="F10">
        <v>952454</v>
      </c>
      <c r="G10">
        <v>2396479</v>
      </c>
    </row>
    <row r="11" spans="1:7" x14ac:dyDescent="0.2">
      <c r="A11" t="s">
        <v>28</v>
      </c>
      <c r="B11">
        <v>15962376</v>
      </c>
      <c r="C11">
        <v>13725080</v>
      </c>
      <c r="D11">
        <v>18504579</v>
      </c>
      <c r="E11">
        <v>30657137</v>
      </c>
      <c r="F11">
        <v>29879869</v>
      </c>
      <c r="G11">
        <v>33651304</v>
      </c>
    </row>
    <row r="12" spans="1:7" ht="17" x14ac:dyDescent="0.2">
      <c r="A12" s="6" t="s">
        <v>31</v>
      </c>
      <c r="B12" s="3">
        <f>B2/SUM(B2:B11)</f>
        <v>0.46912170974725148</v>
      </c>
      <c r="C12" s="3">
        <f t="shared" ref="C12:G12" si="0">C2/SUM(C2:C11)</f>
        <v>0.49218584099824358</v>
      </c>
      <c r="D12" s="3">
        <f t="shared" si="0"/>
        <v>0.46102390385651554</v>
      </c>
      <c r="E12" s="3">
        <f t="shared" si="0"/>
        <v>0.43971472932544065</v>
      </c>
      <c r="F12" s="3">
        <f t="shared" si="0"/>
        <v>0.53841839514552514</v>
      </c>
      <c r="G12" s="3">
        <f t="shared" si="0"/>
        <v>0.40477865338372615</v>
      </c>
    </row>
    <row r="13" spans="1:7" ht="17" x14ac:dyDescent="0.2">
      <c r="A13" s="6" t="s">
        <v>29</v>
      </c>
      <c r="B13" s="3">
        <f>(B5+B6+B7)/SUM(B2:B11)</f>
        <v>0.48663915360744037</v>
      </c>
      <c r="C13" s="3">
        <f t="shared" ref="C13:G13" si="1">(C5+C6+C7)/SUM(C2:C11)</f>
        <v>0.4682320492741231</v>
      </c>
      <c r="D13" s="3">
        <f t="shared" si="1"/>
        <v>0.49755687223325756</v>
      </c>
      <c r="E13" s="3">
        <f t="shared" si="1"/>
        <v>0.50619829085671153</v>
      </c>
      <c r="F13" s="3">
        <f t="shared" si="1"/>
        <v>0.41507504169929887</v>
      </c>
      <c r="G13" s="3">
        <f t="shared" si="1"/>
        <v>0.54761101321560479</v>
      </c>
    </row>
    <row r="14" spans="1:7" ht="17" x14ac:dyDescent="0.2">
      <c r="A14" s="6" t="s">
        <v>30</v>
      </c>
      <c r="B14" s="3">
        <f>B13/B12</f>
        <v>1.0373409362564499</v>
      </c>
      <c r="C14" s="3">
        <f t="shared" ref="C14:G14" si="2">C13/C12</f>
        <v>0.95133181467484362</v>
      </c>
      <c r="D14" s="3">
        <f t="shared" si="2"/>
        <v>1.0792431109778469</v>
      </c>
      <c r="E14" s="3">
        <f t="shared" si="2"/>
        <v>1.1511970309324462</v>
      </c>
      <c r="F14" s="3">
        <f t="shared" si="2"/>
        <v>0.77091541715827017</v>
      </c>
      <c r="G14" s="3">
        <f t="shared" si="2"/>
        <v>1.3528653466230962</v>
      </c>
    </row>
    <row r="15" spans="1:7" ht="17" x14ac:dyDescent="0.2">
      <c r="A15" s="6" t="s">
        <v>32</v>
      </c>
      <c r="B15" t="s">
        <v>43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</row>
    <row r="16" spans="1:7" ht="17" x14ac:dyDescent="0.2">
      <c r="A16" s="6" t="s">
        <v>33</v>
      </c>
      <c r="B16">
        <v>1713578</v>
      </c>
      <c r="C16">
        <v>0.56658500000000001</v>
      </c>
      <c r="D16">
        <v>0.54421299999999995</v>
      </c>
      <c r="E16">
        <v>0.56928599999999996</v>
      </c>
      <c r="F16">
        <v>0.60131500000000004</v>
      </c>
      <c r="G16">
        <v>1686845</v>
      </c>
    </row>
    <row r="17" spans="1:7" ht="17" x14ac:dyDescent="0.2">
      <c r="A17" s="6" t="s">
        <v>34</v>
      </c>
      <c r="B17">
        <v>143610</v>
      </c>
      <c r="C17">
        <v>4.2584999999999998E-2</v>
      </c>
      <c r="D17">
        <v>4.5543E-2</v>
      </c>
      <c r="E17">
        <v>4.6851999999999998E-2</v>
      </c>
      <c r="F17">
        <v>4.5072000000000001E-2</v>
      </c>
      <c r="G17">
        <v>120507</v>
      </c>
    </row>
    <row r="18" spans="1:7" ht="17" x14ac:dyDescent="0.2">
      <c r="A18" s="6" t="s">
        <v>35</v>
      </c>
      <c r="B18">
        <v>95533</v>
      </c>
      <c r="C18">
        <v>3.3779999999999998E-2</v>
      </c>
      <c r="D18">
        <v>3.3790000000000001E-2</v>
      </c>
      <c r="E18">
        <v>3.7661E-2</v>
      </c>
      <c r="F18">
        <v>0</v>
      </c>
      <c r="G18">
        <v>0</v>
      </c>
    </row>
    <row r="19" spans="1:7" ht="17" x14ac:dyDescent="0.2">
      <c r="A19" s="6" t="s">
        <v>36</v>
      </c>
      <c r="B19">
        <v>349330</v>
      </c>
      <c r="C19">
        <v>0.13955699999999999</v>
      </c>
      <c r="D19">
        <v>0.137457</v>
      </c>
      <c r="E19">
        <v>0.14164299999999999</v>
      </c>
      <c r="F19">
        <v>0.16208900000000001</v>
      </c>
      <c r="G19">
        <v>459207</v>
      </c>
    </row>
    <row r="20" spans="1:7" ht="17" x14ac:dyDescent="0.2">
      <c r="A20" s="6" t="s">
        <v>37</v>
      </c>
      <c r="B20">
        <v>603556</v>
      </c>
      <c r="C20">
        <v>0.21315799999999999</v>
      </c>
      <c r="D20">
        <v>0.231543</v>
      </c>
      <c r="E20">
        <v>0.19844700000000001</v>
      </c>
      <c r="F20">
        <v>0.18595700000000001</v>
      </c>
      <c r="G20">
        <v>822020</v>
      </c>
    </row>
    <row r="21" spans="1:7" ht="17" x14ac:dyDescent="0.2">
      <c r="A21" s="6" t="s">
        <v>38</v>
      </c>
      <c r="B21">
        <v>14109</v>
      </c>
      <c r="C21">
        <v>3.1909999999999998E-3</v>
      </c>
      <c r="D21">
        <v>2.3149999999999998E-3</v>
      </c>
      <c r="E21">
        <v>4.0699999999999998E-3</v>
      </c>
      <c r="F21">
        <v>4.5279999999999999E-3</v>
      </c>
      <c r="G21">
        <v>12719</v>
      </c>
    </row>
    <row r="22" spans="1:7" ht="17" x14ac:dyDescent="0.2">
      <c r="A22" s="6" t="s">
        <v>39</v>
      </c>
      <c r="B22">
        <v>0</v>
      </c>
      <c r="C22">
        <v>1.186E-3</v>
      </c>
      <c r="D22">
        <v>1.1230000000000001E-3</v>
      </c>
      <c r="E22" s="4">
        <v>4.1E-5</v>
      </c>
      <c r="F22">
        <v>1.139E-3</v>
      </c>
      <c r="G22">
        <v>3198</v>
      </c>
    </row>
    <row r="23" spans="1:7" ht="17" x14ac:dyDescent="0.2">
      <c r="A23" s="6" t="s">
        <v>40</v>
      </c>
      <c r="B23" s="3">
        <f>B16/SUM(B16:B22)</f>
        <v>0.5868988627661047</v>
      </c>
      <c r="C23" s="3">
        <f t="shared" ref="C23:G23" si="3">C16/SUM(C16:C22)</f>
        <v>0.56656120442941393</v>
      </c>
      <c r="D23" s="3">
        <f t="shared" si="3"/>
        <v>0.546407372005976</v>
      </c>
      <c r="E23" s="3">
        <f t="shared" si="3"/>
        <v>0.57042685370741475</v>
      </c>
      <c r="F23" s="3">
        <f t="shared" si="3"/>
        <v>0.60125487451254878</v>
      </c>
      <c r="G23" s="3">
        <f t="shared" si="3"/>
        <v>0.54335550762507023</v>
      </c>
    </row>
    <row r="24" spans="1:7" ht="17" x14ac:dyDescent="0.2">
      <c r="A24" s="6" t="s">
        <v>41</v>
      </c>
      <c r="B24" s="3">
        <f>(B19+B18)/SUM(B16:B22)</f>
        <v>0.152365161543109</v>
      </c>
      <c r="C24" s="3">
        <f t="shared" ref="C24:G24" si="4">(C19+C18)/SUM(C16:C22)</f>
        <v>0.1733297201517536</v>
      </c>
      <c r="D24" s="3">
        <f t="shared" si="4"/>
        <v>0.17193750100403221</v>
      </c>
      <c r="E24" s="3">
        <f t="shared" si="4"/>
        <v>0.17966332665330662</v>
      </c>
      <c r="F24" s="3">
        <f t="shared" si="4"/>
        <v>0.16207279272072794</v>
      </c>
      <c r="G24" s="3">
        <f t="shared" si="4"/>
        <v>0.14791676330070969</v>
      </c>
    </row>
    <row r="25" spans="1:7" ht="17" x14ac:dyDescent="0.2">
      <c r="A25" s="6" t="s">
        <v>42</v>
      </c>
      <c r="B25" s="3">
        <f>B24/B23</f>
        <v>0.2596105925729672</v>
      </c>
      <c r="C25" s="3">
        <f t="shared" ref="C25:G25" si="5">C24/C23</f>
        <v>0.30593291386111526</v>
      </c>
      <c r="D25" s="3">
        <f t="shared" si="5"/>
        <v>0.31466907258738769</v>
      </c>
      <c r="E25" s="3">
        <f t="shared" si="5"/>
        <v>0.31496295359450266</v>
      </c>
      <c r="F25" s="3">
        <f t="shared" si="5"/>
        <v>0.2695575530296101</v>
      </c>
      <c r="G25" s="3">
        <f t="shared" si="5"/>
        <v>0.27222833158944659</v>
      </c>
    </row>
    <row r="26" spans="1:7" ht="17" x14ac:dyDescent="0.2">
      <c r="A26" s="6" t="s">
        <v>32</v>
      </c>
      <c r="B26" t="s">
        <v>43</v>
      </c>
      <c r="C26" t="s">
        <v>43</v>
      </c>
      <c r="D26" t="s">
        <v>43</v>
      </c>
      <c r="E26" t="s">
        <v>43</v>
      </c>
      <c r="F26" t="s">
        <v>43</v>
      </c>
      <c r="G26" t="s">
        <v>43</v>
      </c>
    </row>
    <row r="27" spans="1:7" ht="17" x14ac:dyDescent="0.2">
      <c r="A27" s="6" t="s">
        <v>18</v>
      </c>
      <c r="B27">
        <f>(B12+B23)/2</f>
        <v>0.52801028625667812</v>
      </c>
      <c r="C27">
        <f t="shared" ref="C27:G27" si="6">(C12+C23)/2</f>
        <v>0.52937352271382876</v>
      </c>
      <c r="D27">
        <f t="shared" si="6"/>
        <v>0.50371563793124574</v>
      </c>
      <c r="E27">
        <f t="shared" si="6"/>
        <v>0.50507079151642764</v>
      </c>
      <c r="F27">
        <f t="shared" si="6"/>
        <v>0.5698366348290369</v>
      </c>
      <c r="G27">
        <f t="shared" si="6"/>
        <v>0.47406708050439816</v>
      </c>
    </row>
    <row r="28" spans="1:7" ht="17" x14ac:dyDescent="0.2">
      <c r="A28" s="6" t="s">
        <v>7</v>
      </c>
      <c r="B28">
        <f>(B13+B24)/2</f>
        <v>0.31950215757527467</v>
      </c>
      <c r="C28">
        <f t="shared" ref="C28:G28" si="7">(C13+C24)/2</f>
        <v>0.32078088471293836</v>
      </c>
      <c r="D28">
        <f t="shared" si="7"/>
        <v>0.33474718661864489</v>
      </c>
      <c r="E28">
        <f t="shared" si="7"/>
        <v>0.34293080875500909</v>
      </c>
      <c r="F28">
        <f t="shared" si="7"/>
        <v>0.28857391721001341</v>
      </c>
      <c r="G28">
        <f t="shared" si="7"/>
        <v>0.34776388825815724</v>
      </c>
    </row>
    <row r="29" spans="1:7" ht="17" x14ac:dyDescent="0.2">
      <c r="A29" s="6" t="s">
        <v>8</v>
      </c>
      <c r="B29">
        <f>(B14+B25)/2</f>
        <v>0.64847576441470856</v>
      </c>
      <c r="C29">
        <f>(C14+C25)/2</f>
        <v>0.62863236426797942</v>
      </c>
      <c r="D29">
        <f>(D14+D25)/2</f>
        <v>0.6969560917826173</v>
      </c>
      <c r="E29">
        <f>(E14+E25)/2</f>
        <v>0.73307999226347442</v>
      </c>
      <c r="F29">
        <f>(F14+F25)/2</f>
        <v>0.52023648509394016</v>
      </c>
      <c r="G29">
        <f>(G14+G25)/2</f>
        <v>0.81254683910627135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2C47-2DD7-B641-BC93-52EAD3CB96C7}">
  <dimension ref="A1:G7"/>
  <sheetViews>
    <sheetView workbookViewId="0">
      <selection activeCell="A2" sqref="A2:A7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0.45</v>
      </c>
      <c r="C2">
        <v>0.52</v>
      </c>
      <c r="D2">
        <v>0.49</v>
      </c>
      <c r="E2">
        <v>0.45</v>
      </c>
      <c r="F2">
        <v>0.47</v>
      </c>
      <c r="G2">
        <v>0.46</v>
      </c>
    </row>
    <row r="3" spans="1:7" x14ac:dyDescent="0.2">
      <c r="A3" t="s">
        <v>44</v>
      </c>
      <c r="B3">
        <v>0.19</v>
      </c>
      <c r="C3">
        <v>0.16</v>
      </c>
      <c r="D3">
        <v>0.16</v>
      </c>
      <c r="E3">
        <v>0.15</v>
      </c>
      <c r="F3">
        <v>0.17</v>
      </c>
      <c r="G3">
        <v>0.15</v>
      </c>
    </row>
    <row r="4" spans="1:7" x14ac:dyDescent="0.2">
      <c r="A4" t="s">
        <v>45</v>
      </c>
      <c r="B4">
        <v>0.36</v>
      </c>
      <c r="C4">
        <v>0.32</v>
      </c>
      <c r="D4">
        <v>0.35</v>
      </c>
      <c r="E4">
        <v>0.41</v>
      </c>
      <c r="F4">
        <v>0.36</v>
      </c>
      <c r="G4">
        <v>0.39</v>
      </c>
    </row>
    <row r="5" spans="1:7" ht="17" x14ac:dyDescent="0.2">
      <c r="A5" s="1" t="s">
        <v>18</v>
      </c>
      <c r="B5">
        <f>B2</f>
        <v>0.45</v>
      </c>
      <c r="C5">
        <f t="shared" ref="C5:G5" si="0">C2</f>
        <v>0.52</v>
      </c>
      <c r="D5">
        <f t="shared" si="0"/>
        <v>0.49</v>
      </c>
      <c r="E5">
        <f t="shared" si="0"/>
        <v>0.45</v>
      </c>
      <c r="F5">
        <f t="shared" si="0"/>
        <v>0.47</v>
      </c>
      <c r="G5">
        <f t="shared" si="0"/>
        <v>0.46</v>
      </c>
    </row>
    <row r="6" spans="1:7" ht="17" x14ac:dyDescent="0.2">
      <c r="A6" s="1" t="s">
        <v>7</v>
      </c>
      <c r="B6">
        <f>B4</f>
        <v>0.36</v>
      </c>
      <c r="C6">
        <f t="shared" ref="C6:G6" si="1">C4</f>
        <v>0.32</v>
      </c>
      <c r="D6">
        <f t="shared" si="1"/>
        <v>0.35</v>
      </c>
      <c r="E6">
        <f t="shared" si="1"/>
        <v>0.41</v>
      </c>
      <c r="F6">
        <f t="shared" si="1"/>
        <v>0.36</v>
      </c>
      <c r="G6">
        <f t="shared" si="1"/>
        <v>0.39</v>
      </c>
    </row>
    <row r="7" spans="1:7" ht="17" x14ac:dyDescent="0.2">
      <c r="A7" s="1" t="s">
        <v>8</v>
      </c>
      <c r="B7">
        <f>B6/B5</f>
        <v>0.79999999999999993</v>
      </c>
      <c r="C7">
        <f t="shared" ref="C7:G7" si="2">C6/C5</f>
        <v>0.61538461538461542</v>
      </c>
      <c r="D7">
        <f t="shared" si="2"/>
        <v>0.7142857142857143</v>
      </c>
      <c r="E7">
        <f t="shared" si="2"/>
        <v>0.91111111111111098</v>
      </c>
      <c r="F7">
        <f t="shared" si="2"/>
        <v>0.76595744680851063</v>
      </c>
      <c r="G7">
        <f t="shared" si="2"/>
        <v>0.84782608695652173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3042-0798-244B-A8CC-48E4FF61C79D}">
  <dimension ref="A1:G10"/>
  <sheetViews>
    <sheetView workbookViewId="0">
      <selection activeCell="A13" sqref="A13"/>
    </sheetView>
  </sheetViews>
  <sheetFormatPr baseColWidth="10" defaultRowHeight="16" x14ac:dyDescent="0.2"/>
  <cols>
    <col min="1" max="1" width="14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46</v>
      </c>
      <c r="B2">
        <v>0.40679999999999999</v>
      </c>
      <c r="C2">
        <v>0.49980000000000002</v>
      </c>
      <c r="D2">
        <v>0.49380000000000002</v>
      </c>
      <c r="E2">
        <v>0.52039999999999997</v>
      </c>
      <c r="F2">
        <v>0.46949999999999997</v>
      </c>
      <c r="G2">
        <v>0.46850000000000003</v>
      </c>
    </row>
    <row r="3" spans="1:7" x14ac:dyDescent="0.2">
      <c r="A3" t="s">
        <v>49</v>
      </c>
      <c r="B3">
        <v>0.35709999999999997</v>
      </c>
      <c r="C3">
        <v>0.28820000000000001</v>
      </c>
      <c r="D3">
        <v>0.2964</v>
      </c>
      <c r="E3">
        <v>0.2757</v>
      </c>
      <c r="F3">
        <v>0.28789999999999999</v>
      </c>
      <c r="G3">
        <v>0.29049999999999998</v>
      </c>
    </row>
    <row r="4" spans="1:7" x14ac:dyDescent="0.2">
      <c r="A4" t="s">
        <v>48</v>
      </c>
      <c r="B4">
        <v>0.109</v>
      </c>
      <c r="C4">
        <v>9.6799999999999997E-2</v>
      </c>
      <c r="D4">
        <v>9.6000000000000002E-2</v>
      </c>
      <c r="E4">
        <v>9.2999999999999999E-2</v>
      </c>
      <c r="F4">
        <v>0.1026</v>
      </c>
      <c r="G4">
        <v>0.1024</v>
      </c>
    </row>
    <row r="5" spans="1:7" x14ac:dyDescent="0.2">
      <c r="A5" t="s">
        <v>49</v>
      </c>
      <c r="B5">
        <v>3.04E-2</v>
      </c>
      <c r="C5">
        <v>2.6100000000000002E-2</v>
      </c>
      <c r="D5">
        <v>2.7699999999999999E-2</v>
      </c>
      <c r="E5">
        <v>2.5499999999999998E-2</v>
      </c>
      <c r="F5">
        <v>2.58E-2</v>
      </c>
      <c r="G5">
        <v>2.6100000000000002E-2</v>
      </c>
    </row>
    <row r="6" spans="1:7" x14ac:dyDescent="0.2">
      <c r="A6" t="s">
        <v>50</v>
      </c>
      <c r="B6">
        <v>9.6299999999999997E-2</v>
      </c>
      <c r="C6">
        <v>8.8700000000000001E-2</v>
      </c>
      <c r="D6">
        <v>8.5599999999999996E-2</v>
      </c>
      <c r="E6">
        <v>8.4900000000000003E-2</v>
      </c>
      <c r="F6">
        <v>0.1138</v>
      </c>
      <c r="G6">
        <v>0.11210000000000001</v>
      </c>
    </row>
    <row r="7" spans="1:7" x14ac:dyDescent="0.2">
      <c r="A7" t="s">
        <v>51</v>
      </c>
      <c r="B7">
        <v>4.0000000000000002E-4</v>
      </c>
      <c r="C7">
        <v>4.0000000000000002E-4</v>
      </c>
      <c r="D7">
        <v>4.0000000000000002E-4</v>
      </c>
      <c r="E7">
        <v>4.0000000000000002E-4</v>
      </c>
      <c r="F7">
        <v>4.0000000000000002E-4</v>
      </c>
      <c r="G7">
        <v>4.0000000000000002E-4</v>
      </c>
    </row>
    <row r="8" spans="1:7" ht="17" x14ac:dyDescent="0.2">
      <c r="A8" s="1" t="s">
        <v>18</v>
      </c>
      <c r="B8">
        <f>B2</f>
        <v>0.40679999999999999</v>
      </c>
      <c r="C8">
        <f t="shared" ref="C8:G8" si="0">C2</f>
        <v>0.49980000000000002</v>
      </c>
      <c r="D8">
        <f t="shared" si="0"/>
        <v>0.49380000000000002</v>
      </c>
      <c r="E8">
        <f t="shared" si="0"/>
        <v>0.52039999999999997</v>
      </c>
      <c r="F8">
        <f t="shared" si="0"/>
        <v>0.46949999999999997</v>
      </c>
      <c r="G8">
        <f t="shared" si="0"/>
        <v>0.46850000000000003</v>
      </c>
    </row>
    <row r="9" spans="1:7" ht="17" x14ac:dyDescent="0.2">
      <c r="A9" s="1" t="s">
        <v>7</v>
      </c>
      <c r="B9">
        <f>SUM(B4:B6)</f>
        <v>0.23569999999999999</v>
      </c>
      <c r="C9">
        <f t="shared" ref="C9:G9" si="1">SUM(C4:C6)</f>
        <v>0.21160000000000001</v>
      </c>
      <c r="D9">
        <f t="shared" si="1"/>
        <v>0.20929999999999999</v>
      </c>
      <c r="E9">
        <f t="shared" si="1"/>
        <v>0.2034</v>
      </c>
      <c r="F9">
        <f t="shared" si="1"/>
        <v>0.24219999999999997</v>
      </c>
      <c r="G9">
        <f t="shared" si="1"/>
        <v>0.24060000000000001</v>
      </c>
    </row>
    <row r="10" spans="1:7" ht="17" x14ac:dyDescent="0.2">
      <c r="A10" s="1" t="s">
        <v>8</v>
      </c>
      <c r="B10">
        <f>B9/B8</f>
        <v>0.57940019665683384</v>
      </c>
      <c r="C10">
        <f t="shared" ref="C10:G10" si="2">C9/C8</f>
        <v>0.42336934773909563</v>
      </c>
      <c r="D10">
        <f t="shared" si="2"/>
        <v>0.42385581206966377</v>
      </c>
      <c r="E10">
        <f t="shared" si="2"/>
        <v>0.3908531898539585</v>
      </c>
      <c r="F10">
        <f t="shared" si="2"/>
        <v>0.51586794462193819</v>
      </c>
      <c r="G10">
        <f t="shared" si="2"/>
        <v>0.51355389541088581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A045-7451-6F4B-B9F8-6F2795145931}">
  <dimension ref="A1:G10"/>
  <sheetViews>
    <sheetView workbookViewId="0">
      <selection activeCell="B14" sqref="B14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52</v>
      </c>
      <c r="B2" s="5">
        <v>3520.3</v>
      </c>
      <c r="C2" s="5">
        <v>3649.6</v>
      </c>
      <c r="D2" s="5">
        <v>3343.2</v>
      </c>
      <c r="E2" s="5">
        <v>3421.9</v>
      </c>
      <c r="F2" s="5">
        <v>3263.6</v>
      </c>
      <c r="G2" s="5">
        <v>3518.7</v>
      </c>
    </row>
    <row r="3" spans="1:7" x14ac:dyDescent="0.2">
      <c r="A3" t="s">
        <v>53</v>
      </c>
      <c r="B3">
        <v>261.60000000000002</v>
      </c>
      <c r="C3">
        <v>253.4</v>
      </c>
      <c r="D3">
        <v>234</v>
      </c>
      <c r="E3">
        <v>236.2</v>
      </c>
      <c r="F3">
        <v>221.8</v>
      </c>
      <c r="G3">
        <v>241.8</v>
      </c>
    </row>
    <row r="4" spans="1:7" x14ac:dyDescent="0.2">
      <c r="A4" t="s">
        <v>54</v>
      </c>
      <c r="B4">
        <v>542.1</v>
      </c>
      <c r="C4">
        <v>507.4</v>
      </c>
      <c r="D4">
        <v>525.6</v>
      </c>
      <c r="E4">
        <v>526.79999999999995</v>
      </c>
      <c r="F4">
        <v>522</v>
      </c>
      <c r="G4">
        <v>552.79999999999995</v>
      </c>
    </row>
    <row r="5" spans="1:7" x14ac:dyDescent="0.2">
      <c r="A5" t="s">
        <v>47</v>
      </c>
      <c r="B5">
        <v>48.9</v>
      </c>
      <c r="C5">
        <v>46</v>
      </c>
      <c r="D5">
        <v>47.1</v>
      </c>
      <c r="E5">
        <v>44.6</v>
      </c>
      <c r="F5">
        <v>44.1</v>
      </c>
      <c r="G5">
        <v>46.4</v>
      </c>
    </row>
    <row r="6" spans="1:7" x14ac:dyDescent="0.2">
      <c r="A6" t="s">
        <v>55</v>
      </c>
      <c r="B6">
        <v>3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2">
      <c r="A7" t="s">
        <v>56</v>
      </c>
      <c r="B7" s="5">
        <v>1243.7</v>
      </c>
      <c r="C7" s="5">
        <v>1203.3</v>
      </c>
      <c r="D7" s="5">
        <v>1260</v>
      </c>
      <c r="E7" s="5">
        <v>1214.7</v>
      </c>
      <c r="F7" s="5">
        <v>1240.0999999999999</v>
      </c>
      <c r="G7" s="5">
        <v>1267.3</v>
      </c>
    </row>
    <row r="8" spans="1:7" x14ac:dyDescent="0.2">
      <c r="A8" t="s">
        <v>18</v>
      </c>
      <c r="B8" s="5">
        <f>B2/SUM(B2:B7)</f>
        <v>0.62643248629795723</v>
      </c>
      <c r="C8" s="5">
        <f t="shared" ref="C8:G8" si="0">C2/SUM(C2:C7)</f>
        <v>0.6448398324999558</v>
      </c>
      <c r="D8" s="5">
        <f t="shared" si="0"/>
        <v>0.61797815116730426</v>
      </c>
      <c r="E8" s="5">
        <f t="shared" si="0"/>
        <v>0.62854046508210581</v>
      </c>
      <c r="F8" s="5">
        <f t="shared" si="0"/>
        <v>0.61675107717892508</v>
      </c>
      <c r="G8" s="5">
        <f t="shared" si="0"/>
        <v>0.62532432912742131</v>
      </c>
    </row>
    <row r="9" spans="1:7" x14ac:dyDescent="0.2">
      <c r="A9" t="s">
        <v>7</v>
      </c>
      <c r="B9" s="5">
        <f>B7/SUM(B2:B7)</f>
        <v>0.22131468431916865</v>
      </c>
      <c r="C9" s="5">
        <f t="shared" ref="C9:G9" si="1">C7/SUM(C2:C7)</f>
        <v>0.21260844214357652</v>
      </c>
      <c r="D9" s="5">
        <f t="shared" si="1"/>
        <v>0.23290633837963731</v>
      </c>
      <c r="E9" s="5">
        <f t="shared" si="1"/>
        <v>0.22311818081628157</v>
      </c>
      <c r="F9" s="5">
        <f t="shared" si="1"/>
        <v>0.23435255877239394</v>
      </c>
      <c r="G9" s="5">
        <f t="shared" si="1"/>
        <v>0.22521770037320063</v>
      </c>
    </row>
    <row r="10" spans="1:7" x14ac:dyDescent="0.2">
      <c r="A10" t="s">
        <v>8</v>
      </c>
      <c r="B10">
        <f>B9/B8</f>
        <v>0.35329375337329205</v>
      </c>
      <c r="C10">
        <f t="shared" ref="C10:G10" si="2">C9/C8</f>
        <v>0.32970736519070587</v>
      </c>
      <c r="D10">
        <f t="shared" si="2"/>
        <v>0.37688442211055279</v>
      </c>
      <c r="E10">
        <f t="shared" si="2"/>
        <v>0.35497822846956367</v>
      </c>
      <c r="F10">
        <f t="shared" si="2"/>
        <v>0.37997916411324911</v>
      </c>
      <c r="G10">
        <f t="shared" si="2"/>
        <v>0.3601614232529059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1CB8-D079-6E41-AC8F-A6FE538CE00A}">
  <dimension ref="A1:G7"/>
  <sheetViews>
    <sheetView workbookViewId="0">
      <selection activeCell="F6" sqref="F6"/>
    </sheetView>
  </sheetViews>
  <sheetFormatPr baseColWidth="10" defaultRowHeight="16" x14ac:dyDescent="0.2"/>
  <cols>
    <col min="2" max="2" width="12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26813059</v>
      </c>
      <c r="C2">
        <v>28033760</v>
      </c>
      <c r="D2">
        <v>28343981</v>
      </c>
      <c r="E2">
        <v>27818982</v>
      </c>
      <c r="F2">
        <v>26022565</v>
      </c>
      <c r="G2">
        <v>13227361</v>
      </c>
    </row>
    <row r="3" spans="1:7" x14ac:dyDescent="0.2">
      <c r="A3" t="s">
        <v>57</v>
      </c>
      <c r="B3">
        <v>27657622</v>
      </c>
      <c r="C3">
        <v>25879284</v>
      </c>
      <c r="D3">
        <v>26419986</v>
      </c>
      <c r="E3">
        <v>26904297</v>
      </c>
      <c r="F3">
        <v>26707834</v>
      </c>
      <c r="G3">
        <v>13734539</v>
      </c>
    </row>
    <row r="4" spans="1:7" x14ac:dyDescent="0.2">
      <c r="A4" t="s">
        <v>58</v>
      </c>
      <c r="B4">
        <v>650670</v>
      </c>
      <c r="C4">
        <v>569309</v>
      </c>
      <c r="D4">
        <v>501726</v>
      </c>
      <c r="E4">
        <v>470865</v>
      </c>
      <c r="F4">
        <v>454308</v>
      </c>
      <c r="G4">
        <v>205918</v>
      </c>
    </row>
    <row r="5" spans="1:7" x14ac:dyDescent="0.2">
      <c r="A5" t="s">
        <v>18</v>
      </c>
      <c r="B5">
        <f>B2/SUM(B2:B4)</f>
        <v>0.4864368981086839</v>
      </c>
      <c r="C5">
        <f t="shared" ref="C5:G5" si="0">C2/SUM(C2:C4)</f>
        <v>0.51454752697630368</v>
      </c>
      <c r="D5">
        <f t="shared" si="0"/>
        <v>0.51286755781746918</v>
      </c>
      <c r="E5">
        <f t="shared" si="0"/>
        <v>0.50402053522199741</v>
      </c>
      <c r="F5">
        <f t="shared" si="0"/>
        <v>0.489286610152802</v>
      </c>
      <c r="G5">
        <f t="shared" si="0"/>
        <v>0.48687608993847059</v>
      </c>
    </row>
    <row r="6" spans="1:7" x14ac:dyDescent="0.2">
      <c r="A6" t="s">
        <v>7</v>
      </c>
      <c r="B6">
        <f>B4/SUM(B2:B4)</f>
        <v>1.1804318801982919E-2</v>
      </c>
      <c r="C6">
        <f t="shared" ref="C6:G6" si="1">C4/SUM(C2:C4)</f>
        <v>1.0449420200335327E-2</v>
      </c>
      <c r="D6">
        <f t="shared" si="1"/>
        <v>9.0784349704978815E-3</v>
      </c>
      <c r="E6">
        <f t="shared" si="1"/>
        <v>8.5310680785265908E-3</v>
      </c>
      <c r="F6">
        <f t="shared" si="1"/>
        <v>8.5420795869007981E-3</v>
      </c>
      <c r="G6">
        <f t="shared" si="1"/>
        <v>7.579482459724958E-3</v>
      </c>
    </row>
    <row r="7" spans="1:7" x14ac:dyDescent="0.2">
      <c r="A7" t="s">
        <v>8</v>
      </c>
      <c r="B7">
        <f>B6/B5</f>
        <v>2.426690665917678E-2</v>
      </c>
      <c r="C7">
        <f t="shared" ref="C7:G7" si="2">C6/C5</f>
        <v>2.0307978665723043E-2</v>
      </c>
      <c r="D7">
        <f t="shared" si="2"/>
        <v>1.7701324312911441E-2</v>
      </c>
      <c r="E7">
        <f t="shared" si="2"/>
        <v>1.6926032735489746E-2</v>
      </c>
      <c r="F7">
        <f t="shared" si="2"/>
        <v>1.7458232883653092E-2</v>
      </c>
      <c r="G7">
        <f t="shared" si="2"/>
        <v>1.5567579957937186E-2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81DE-6ACB-2E42-A39C-716351242374}">
  <dimension ref="A1:G11"/>
  <sheetViews>
    <sheetView workbookViewId="0">
      <selection activeCell="B1" sqref="B1:G1"/>
    </sheetView>
  </sheetViews>
  <sheetFormatPr baseColWidth="10" defaultRowHeight="16" x14ac:dyDescent="0.2"/>
  <cols>
    <col min="1" max="1" width="2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0.41699999999999998</v>
      </c>
      <c r="C2">
        <v>0.4204</v>
      </c>
      <c r="D2">
        <v>0.4345</v>
      </c>
      <c r="E2">
        <v>0.48020000000000002</v>
      </c>
      <c r="F2">
        <v>0.49209999999999998</v>
      </c>
      <c r="G2">
        <v>0.4723</v>
      </c>
    </row>
    <row r="3" spans="1:7" x14ac:dyDescent="0.2">
      <c r="A3" t="s">
        <v>59</v>
      </c>
      <c r="B3" s="4">
        <v>0.3261</v>
      </c>
      <c r="C3">
        <v>0.32400000000000001</v>
      </c>
      <c r="D3">
        <v>0.30130000000000001</v>
      </c>
      <c r="E3">
        <v>0.2868</v>
      </c>
      <c r="F3">
        <v>0.27129999999999999</v>
      </c>
      <c r="G3">
        <v>0.2823</v>
      </c>
    </row>
    <row r="4" spans="1:7" x14ac:dyDescent="0.2">
      <c r="A4" t="s">
        <v>60</v>
      </c>
      <c r="B4">
        <v>0.15440000000000001</v>
      </c>
      <c r="C4">
        <v>0.1555</v>
      </c>
      <c r="D4">
        <v>0.15820000000000001</v>
      </c>
      <c r="E4">
        <v>0.14369999999999999</v>
      </c>
      <c r="F4">
        <v>0.14610000000000001</v>
      </c>
      <c r="G4">
        <v>0.14330000000000001</v>
      </c>
    </row>
    <row r="5" spans="1:7" x14ac:dyDescent="0.2">
      <c r="A5" t="s">
        <v>61</v>
      </c>
      <c r="B5">
        <v>4.3799999999999999E-2</v>
      </c>
      <c r="C5">
        <v>4.2500000000000003E-2</v>
      </c>
      <c r="D5">
        <v>4.4400000000000002E-2</v>
      </c>
      <c r="E5">
        <v>3.6700000000000003E-2</v>
      </c>
      <c r="F5">
        <v>3.5200000000000002E-2</v>
      </c>
      <c r="G5">
        <v>3.85E-2</v>
      </c>
    </row>
    <row r="6" spans="1:7" x14ac:dyDescent="0.2">
      <c r="A6" t="s">
        <v>62</v>
      </c>
      <c r="B6">
        <v>5.8799999999999998E-2</v>
      </c>
      <c r="C6">
        <v>5.7500000000000002E-2</v>
      </c>
      <c r="D6">
        <v>6.1600000000000002E-2</v>
      </c>
      <c r="E6">
        <v>5.2499999999999998E-2</v>
      </c>
      <c r="F6">
        <v>5.5399999999999998E-2</v>
      </c>
      <c r="G6">
        <v>6.3600000000000004E-2</v>
      </c>
    </row>
    <row r="7" spans="1:7" x14ac:dyDescent="0.2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18</v>
      </c>
      <c r="B9">
        <f>B2</f>
        <v>0.41699999999999998</v>
      </c>
      <c r="C9">
        <f t="shared" ref="C9:G9" si="0">C2</f>
        <v>0.4204</v>
      </c>
      <c r="D9">
        <f t="shared" si="0"/>
        <v>0.4345</v>
      </c>
      <c r="E9">
        <f t="shared" si="0"/>
        <v>0.48020000000000002</v>
      </c>
      <c r="F9">
        <f t="shared" si="0"/>
        <v>0.49209999999999998</v>
      </c>
      <c r="G9">
        <f t="shared" si="0"/>
        <v>0.4723</v>
      </c>
    </row>
    <row r="10" spans="1:7" x14ac:dyDescent="0.2">
      <c r="A10" t="s">
        <v>7</v>
      </c>
      <c r="B10">
        <f>SUM(B4:B6)</f>
        <v>0.25700000000000001</v>
      </c>
      <c r="C10">
        <f t="shared" ref="C10:G10" si="1">SUM(C4:C6)</f>
        <v>0.2555</v>
      </c>
      <c r="D10">
        <f t="shared" si="1"/>
        <v>0.26419999999999999</v>
      </c>
      <c r="E10">
        <f t="shared" si="1"/>
        <v>0.2329</v>
      </c>
      <c r="F10">
        <f t="shared" si="1"/>
        <v>0.23670000000000002</v>
      </c>
      <c r="G10">
        <f t="shared" si="1"/>
        <v>0.24540000000000001</v>
      </c>
    </row>
    <row r="11" spans="1:7" x14ac:dyDescent="0.2">
      <c r="A11" t="s">
        <v>8</v>
      </c>
      <c r="B11">
        <f>B10/B9</f>
        <v>0.61630695443645089</v>
      </c>
      <c r="C11">
        <f t="shared" ref="C11:G11" si="2">C10/C9</f>
        <v>0.60775451950523318</v>
      </c>
      <c r="D11">
        <f t="shared" si="2"/>
        <v>0.6080552359033371</v>
      </c>
      <c r="E11">
        <f t="shared" si="2"/>
        <v>0.48500624739691794</v>
      </c>
      <c r="F11">
        <f t="shared" si="2"/>
        <v>0.48099979678927052</v>
      </c>
      <c r="G11">
        <f t="shared" si="2"/>
        <v>0.51958500952784248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5CAF-CCFB-DE45-B5A0-0B7745EEE1D6}">
  <dimension ref="A1:G12"/>
  <sheetViews>
    <sheetView workbookViewId="0">
      <selection activeCell="F26" sqref="F26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0.4854</v>
      </c>
      <c r="C2">
        <v>0.52359999999999995</v>
      </c>
      <c r="D2">
        <v>0.50636999999999999</v>
      </c>
      <c r="E2">
        <v>0.49736999999999998</v>
      </c>
      <c r="F2">
        <v>0.55747000000000002</v>
      </c>
      <c r="G2">
        <v>0.48688999999999999</v>
      </c>
    </row>
    <row r="3" spans="1:7" x14ac:dyDescent="0.2">
      <c r="A3" t="s">
        <v>65</v>
      </c>
      <c r="B3">
        <v>0.31469000000000003</v>
      </c>
      <c r="C3">
        <v>0.28974</v>
      </c>
      <c r="D3">
        <v>0.29732999999999998</v>
      </c>
      <c r="E3">
        <v>0.32113000000000003</v>
      </c>
      <c r="F3">
        <v>0.28997000000000001</v>
      </c>
      <c r="G3">
        <v>0.30998999999999999</v>
      </c>
    </row>
    <row r="4" spans="1:7" x14ac:dyDescent="0.2">
      <c r="A4" t="s">
        <v>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67</v>
      </c>
      <c r="B5">
        <v>3.4029999999999998E-2</v>
      </c>
      <c r="C5">
        <v>3.4619999999999998E-2</v>
      </c>
      <c r="D5">
        <v>3.8789999999999998E-2</v>
      </c>
      <c r="E5">
        <v>4.24E-2</v>
      </c>
      <c r="F5">
        <v>3.1739999999999997E-2</v>
      </c>
      <c r="G5">
        <v>3.134E-2</v>
      </c>
    </row>
    <row r="6" spans="1:7" x14ac:dyDescent="0.2">
      <c r="A6" t="s">
        <v>68</v>
      </c>
      <c r="B6">
        <v>1.49E-3</v>
      </c>
      <c r="C6">
        <v>1.49E-3</v>
      </c>
      <c r="D6">
        <v>1.5100000000000001E-3</v>
      </c>
      <c r="E6">
        <v>9.7999999999999997E-4</v>
      </c>
      <c r="F6">
        <v>1.4599999999999999E-3</v>
      </c>
      <c r="G6">
        <v>1.4499999999999999E-3</v>
      </c>
    </row>
    <row r="7" spans="1:7" x14ac:dyDescent="0.2">
      <c r="A7" t="s">
        <v>69</v>
      </c>
      <c r="B7">
        <v>6.6360000000000002E-2</v>
      </c>
      <c r="C7">
        <v>6.9070000000000006E-2</v>
      </c>
      <c r="D7">
        <v>6.7580000000000001E-2</v>
      </c>
      <c r="E7">
        <v>5.8459999999999998E-2</v>
      </c>
      <c r="F7">
        <v>5.2069999999999998E-2</v>
      </c>
      <c r="G7">
        <v>7.3639999999999997E-2</v>
      </c>
    </row>
    <row r="8" spans="1:7" x14ac:dyDescent="0.2">
      <c r="A8" t="s">
        <v>70</v>
      </c>
      <c r="B8">
        <v>9.7030000000000005E-2</v>
      </c>
      <c r="C8">
        <v>8.1479999999999997E-2</v>
      </c>
      <c r="D8">
        <v>8.8419999999999999E-2</v>
      </c>
      <c r="E8">
        <v>7.9659999999999995E-2</v>
      </c>
      <c r="F8">
        <v>6.7290000000000003E-2</v>
      </c>
      <c r="G8">
        <v>9.6689999999999998E-2</v>
      </c>
    </row>
    <row r="9" spans="1:7" x14ac:dyDescent="0.2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18</v>
      </c>
      <c r="B10">
        <f>B2</f>
        <v>0.4854</v>
      </c>
      <c r="C10">
        <f t="shared" ref="C10:G10" si="0">C2</f>
        <v>0.52359999999999995</v>
      </c>
      <c r="D10">
        <f t="shared" si="0"/>
        <v>0.50636999999999999</v>
      </c>
      <c r="E10">
        <f t="shared" si="0"/>
        <v>0.49736999999999998</v>
      </c>
      <c r="F10">
        <f t="shared" si="0"/>
        <v>0.55747000000000002</v>
      </c>
      <c r="G10">
        <f t="shared" si="0"/>
        <v>0.48688999999999999</v>
      </c>
    </row>
    <row r="11" spans="1:7" x14ac:dyDescent="0.2">
      <c r="A11" t="s">
        <v>7</v>
      </c>
      <c r="B11">
        <f>B8+B7</f>
        <v>0.16339000000000001</v>
      </c>
      <c r="C11">
        <f t="shared" ref="C11:G11" si="1">C8+C7</f>
        <v>0.15055000000000002</v>
      </c>
      <c r="D11">
        <f t="shared" si="1"/>
        <v>0.156</v>
      </c>
      <c r="E11">
        <f t="shared" si="1"/>
        <v>0.13811999999999999</v>
      </c>
      <c r="F11">
        <f t="shared" si="1"/>
        <v>0.11935999999999999</v>
      </c>
      <c r="G11">
        <f t="shared" si="1"/>
        <v>0.17032999999999998</v>
      </c>
    </row>
    <row r="12" spans="1:7" x14ac:dyDescent="0.2">
      <c r="A12" t="s">
        <v>8</v>
      </c>
      <c r="B12">
        <f>B11/B10</f>
        <v>0.33660898228265351</v>
      </c>
      <c r="C12">
        <f t="shared" ref="C12:G12" si="2">C11/C10</f>
        <v>0.28752864782276555</v>
      </c>
      <c r="D12">
        <f t="shared" si="2"/>
        <v>0.30807512293382311</v>
      </c>
      <c r="E12">
        <f t="shared" si="2"/>
        <v>0.27770070571204536</v>
      </c>
      <c r="F12">
        <f t="shared" si="2"/>
        <v>0.21411017633235868</v>
      </c>
      <c r="G12">
        <f t="shared" si="2"/>
        <v>0.34983261106204683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4897-4641-9B46-AC13-51AA387D9F54}">
  <dimension ref="A1:G11"/>
  <sheetViews>
    <sheetView workbookViewId="0">
      <selection activeCell="B1" sqref="B1:G1"/>
    </sheetView>
  </sheetViews>
  <sheetFormatPr baseColWidth="10" defaultRowHeight="16" x14ac:dyDescent="0.2"/>
  <cols>
    <col min="2" max="2" width="1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ht="17" x14ac:dyDescent="0.2">
      <c r="A2" s="1" t="s">
        <v>0</v>
      </c>
      <c r="B2" s="1">
        <v>0.59752021</v>
      </c>
      <c r="C2" s="1">
        <v>0.57468775000000005</v>
      </c>
      <c r="D2">
        <v>0.53731329999999999</v>
      </c>
      <c r="E2">
        <v>0.52663400999999999</v>
      </c>
      <c r="F2" s="1">
        <v>0.48732555</v>
      </c>
      <c r="G2" s="1">
        <v>0.48274682000000002</v>
      </c>
    </row>
    <row r="3" spans="1:7" ht="17" x14ac:dyDescent="0.2">
      <c r="A3" s="1" t="s">
        <v>1</v>
      </c>
      <c r="B3">
        <v>4.8626780000000001E-2</v>
      </c>
      <c r="C3" s="1">
        <v>4.8997770000000003E-2</v>
      </c>
      <c r="D3">
        <v>5.0680879999999998E-2</v>
      </c>
      <c r="E3">
        <v>4.6437069999999997E-2</v>
      </c>
      <c r="F3">
        <v>4.9128239999999997E-2</v>
      </c>
      <c r="G3">
        <v>5.1501270000000002E-2</v>
      </c>
    </row>
    <row r="4" spans="1:7" ht="17" x14ac:dyDescent="0.2">
      <c r="A4" s="1" t="s">
        <v>2</v>
      </c>
      <c r="B4">
        <v>0.13711359000000001</v>
      </c>
      <c r="C4" s="1">
        <v>0.13384351999999999</v>
      </c>
      <c r="D4">
        <v>0.13298653999999999</v>
      </c>
      <c r="E4">
        <v>0.12408764</v>
      </c>
      <c r="F4">
        <v>0.13225057000000001</v>
      </c>
      <c r="G4">
        <v>0.12714628</v>
      </c>
    </row>
    <row r="5" spans="1:7" ht="17" x14ac:dyDescent="0.2">
      <c r="A5" s="1" t="s">
        <v>3</v>
      </c>
      <c r="B5">
        <v>0.13027332999999999</v>
      </c>
      <c r="C5" s="1">
        <v>0.11898209</v>
      </c>
      <c r="D5">
        <v>0.12174172</v>
      </c>
      <c r="E5">
        <v>0.11753797000000001</v>
      </c>
      <c r="F5">
        <v>0.12639669000000001</v>
      </c>
      <c r="G5">
        <v>0.11942274</v>
      </c>
    </row>
    <row r="6" spans="1:7" ht="17" x14ac:dyDescent="0.2">
      <c r="A6" s="1" t="s">
        <v>4</v>
      </c>
      <c r="B6">
        <v>8.2549040000000004E-2</v>
      </c>
      <c r="C6" s="1">
        <v>0.11962115</v>
      </c>
      <c r="D6">
        <v>0.15339443</v>
      </c>
      <c r="E6">
        <v>0.18192558</v>
      </c>
      <c r="F6">
        <v>0.20153386000000001</v>
      </c>
      <c r="G6">
        <v>0.21566282000000001</v>
      </c>
    </row>
    <row r="7" spans="1:7" ht="17" x14ac:dyDescent="0.2">
      <c r="A7" s="1" t="s">
        <v>5</v>
      </c>
      <c r="B7">
        <v>3.8895900000000001E-3</v>
      </c>
      <c r="C7" s="1">
        <v>3.8366199999999998E-3</v>
      </c>
      <c r="D7">
        <v>3.85856E-3</v>
      </c>
      <c r="E7">
        <v>3.35229E-3</v>
      </c>
      <c r="F7">
        <v>3.3408600000000002E-3</v>
      </c>
      <c r="G7">
        <v>3.3755600000000001E-3</v>
      </c>
    </row>
    <row r="8" spans="1:7" ht="17" x14ac:dyDescent="0.2">
      <c r="A8" s="1" t="s">
        <v>6</v>
      </c>
      <c r="B8">
        <v>2.7460000000000001E-5</v>
      </c>
      <c r="C8" s="1">
        <v>3.1090000000000002E-5</v>
      </c>
      <c r="D8">
        <v>2.4579999999999998E-5</v>
      </c>
      <c r="E8">
        <v>2.5429999999999999E-5</v>
      </c>
      <c r="F8">
        <v>2.4239999999999998E-5</v>
      </c>
      <c r="G8">
        <v>1.4449999999999999E-4</v>
      </c>
    </row>
    <row r="9" spans="1:7" ht="17" x14ac:dyDescent="0.2">
      <c r="A9" s="1" t="s">
        <v>18</v>
      </c>
      <c r="B9">
        <f t="shared" ref="B9:G9" si="0">B2</f>
        <v>0.59752021</v>
      </c>
      <c r="C9">
        <f t="shared" si="0"/>
        <v>0.57468775000000005</v>
      </c>
      <c r="D9">
        <f t="shared" si="0"/>
        <v>0.53731329999999999</v>
      </c>
      <c r="E9">
        <f t="shared" si="0"/>
        <v>0.52663400999999999</v>
      </c>
      <c r="F9">
        <f t="shared" si="0"/>
        <v>0.48732555</v>
      </c>
      <c r="G9">
        <f t="shared" si="0"/>
        <v>0.48274682000000002</v>
      </c>
    </row>
    <row r="10" spans="1:7" ht="17" x14ac:dyDescent="0.2">
      <c r="A10" s="1" t="s">
        <v>7</v>
      </c>
      <c r="B10">
        <f t="shared" ref="B10:G10" si="1">B5+B6</f>
        <v>0.21282236999999998</v>
      </c>
      <c r="C10">
        <f t="shared" si="1"/>
        <v>0.23860323999999999</v>
      </c>
      <c r="D10">
        <f t="shared" si="1"/>
        <v>0.27513615000000002</v>
      </c>
      <c r="E10">
        <f t="shared" si="1"/>
        <v>0.29946355000000002</v>
      </c>
      <c r="F10">
        <f t="shared" si="1"/>
        <v>0.32793055000000004</v>
      </c>
      <c r="G10">
        <f t="shared" si="1"/>
        <v>0.33508556</v>
      </c>
    </row>
    <row r="11" spans="1:7" ht="17" x14ac:dyDescent="0.2">
      <c r="A11" s="1" t="s">
        <v>8</v>
      </c>
      <c r="B11">
        <f>B10/B9</f>
        <v>0.35617601955254363</v>
      </c>
      <c r="C11">
        <f t="shared" ref="C11:G11" si="2">C10/C9</f>
        <v>0.41518762145182314</v>
      </c>
      <c r="D11">
        <f t="shared" si="2"/>
        <v>0.51205907242571513</v>
      </c>
      <c r="E11">
        <f t="shared" si="2"/>
        <v>0.56863693630420875</v>
      </c>
      <c r="F11">
        <f t="shared" si="2"/>
        <v>0.67291885270534257</v>
      </c>
      <c r="G11">
        <f t="shared" si="2"/>
        <v>0.69412277019245816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D793-AA10-934A-9234-2521AF4B34D9}">
  <dimension ref="A1:G28"/>
  <sheetViews>
    <sheetView workbookViewId="0">
      <selection activeCell="B32" sqref="B32"/>
    </sheetView>
  </sheetViews>
  <sheetFormatPr baseColWidth="10" defaultRowHeight="16" x14ac:dyDescent="0.2"/>
  <cols>
    <col min="1" max="1" width="1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71</v>
      </c>
      <c r="B2">
        <v>36523396</v>
      </c>
      <c r="C2">
        <v>35730582</v>
      </c>
      <c r="D2">
        <v>41100950</v>
      </c>
      <c r="E2">
        <v>56876903</v>
      </c>
      <c r="F2">
        <v>68332665</v>
      </c>
      <c r="G2">
        <v>73011826</v>
      </c>
    </row>
    <row r="3" spans="1:7" x14ac:dyDescent="0.2">
      <c r="A3" t="s">
        <v>72</v>
      </c>
      <c r="B3">
        <v>5848168</v>
      </c>
      <c r="C3">
        <v>5257055</v>
      </c>
      <c r="D3">
        <v>5049864</v>
      </c>
      <c r="E3">
        <v>9589542</v>
      </c>
      <c r="F3">
        <v>9627844</v>
      </c>
      <c r="G3">
        <v>9173462</v>
      </c>
    </row>
    <row r="4" spans="1:7" x14ac:dyDescent="0.2">
      <c r="A4" t="s">
        <v>73</v>
      </c>
      <c r="B4">
        <v>766332</v>
      </c>
      <c r="C4">
        <v>509532</v>
      </c>
      <c r="D4">
        <v>317862</v>
      </c>
      <c r="E4">
        <v>1777239</v>
      </c>
      <c r="F4">
        <v>811321</v>
      </c>
      <c r="G4">
        <v>810873</v>
      </c>
    </row>
    <row r="5" spans="1:7" x14ac:dyDescent="0.2">
      <c r="A5" t="s">
        <v>74</v>
      </c>
      <c r="B5">
        <v>1116273</v>
      </c>
      <c r="C5">
        <v>897173</v>
      </c>
      <c r="D5">
        <v>934419</v>
      </c>
      <c r="E5">
        <v>3821710</v>
      </c>
      <c r="F5">
        <v>1657037</v>
      </c>
      <c r="G5">
        <v>1288242</v>
      </c>
    </row>
    <row r="6" spans="1:7" x14ac:dyDescent="0.2">
      <c r="A6" t="s">
        <v>75</v>
      </c>
      <c r="B6">
        <v>186234</v>
      </c>
      <c r="C6">
        <v>25768</v>
      </c>
      <c r="D6">
        <v>65004</v>
      </c>
      <c r="E6">
        <v>1889471</v>
      </c>
      <c r="F6">
        <v>213163</v>
      </c>
      <c r="G6">
        <v>6941</v>
      </c>
    </row>
    <row r="7" spans="1:7" x14ac:dyDescent="0.2">
      <c r="A7" t="s">
        <v>76</v>
      </c>
      <c r="B7">
        <f>B2/SUM(B2:B6)</f>
        <v>0.82185114297905892</v>
      </c>
      <c r="C7">
        <f t="shared" ref="C7:G7" si="0">C2/SUM(C2:C6)</f>
        <v>0.84230290774823546</v>
      </c>
      <c r="D7">
        <f t="shared" si="0"/>
        <v>0.86586467260886091</v>
      </c>
      <c r="E7">
        <f t="shared" si="0"/>
        <v>0.76907588162049922</v>
      </c>
      <c r="F7">
        <f t="shared" si="0"/>
        <v>0.84735794721437441</v>
      </c>
      <c r="G7">
        <f t="shared" si="0"/>
        <v>0.86618414816116829</v>
      </c>
    </row>
    <row r="8" spans="1:7" x14ac:dyDescent="0.2">
      <c r="A8" t="s">
        <v>77</v>
      </c>
      <c r="B8">
        <f>(B4+B5)/SUM(B2:B6)</f>
        <v>4.2362464624814494E-2</v>
      </c>
      <c r="C8">
        <f t="shared" ref="C8:G8" si="1">(C4+C5)/SUM(C2:C6)</f>
        <v>3.3161276573775975E-2</v>
      </c>
      <c r="D8">
        <f t="shared" si="1"/>
        <v>2.6381528360762879E-2</v>
      </c>
      <c r="E8">
        <f t="shared" si="1"/>
        <v>7.5707649523800769E-2</v>
      </c>
      <c r="F8">
        <f t="shared" si="1"/>
        <v>3.0608827679561142E-2</v>
      </c>
      <c r="G8">
        <f t="shared" si="1"/>
        <v>2.4903090879651889E-2</v>
      </c>
    </row>
    <row r="9" spans="1:7" x14ac:dyDescent="0.2">
      <c r="A9" t="s">
        <v>78</v>
      </c>
      <c r="B9">
        <f>B8/B7</f>
        <v>5.1545179424169647E-2</v>
      </c>
      <c r="C9">
        <f t="shared" ref="C9:G9" si="2">C8/C7</f>
        <v>3.9369775728814047E-2</v>
      </c>
      <c r="D9">
        <f t="shared" si="2"/>
        <v>3.0468419829711969E-2</v>
      </c>
      <c r="E9">
        <f t="shared" si="2"/>
        <v>9.843976561100734E-2</v>
      </c>
      <c r="F9">
        <f t="shared" si="2"/>
        <v>3.6122665492411284E-2</v>
      </c>
      <c r="G9">
        <f t="shared" si="2"/>
        <v>2.8750342444523985E-2</v>
      </c>
    </row>
    <row r="10" spans="1:7" ht="17" x14ac:dyDescent="0.2">
      <c r="A10" s="6" t="s">
        <v>32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</row>
    <row r="11" spans="1:7" x14ac:dyDescent="0.2">
      <c r="A11" t="s">
        <v>0</v>
      </c>
      <c r="B11">
        <v>587697</v>
      </c>
      <c r="C11">
        <v>587051</v>
      </c>
      <c r="D11">
        <v>561188</v>
      </c>
      <c r="E11">
        <v>577143</v>
      </c>
      <c r="F11">
        <v>593626</v>
      </c>
      <c r="G11">
        <v>611248</v>
      </c>
    </row>
    <row r="12" spans="1:7" x14ac:dyDescent="0.2">
      <c r="A12" t="s">
        <v>79</v>
      </c>
      <c r="B12">
        <v>227</v>
      </c>
      <c r="C12">
        <v>214</v>
      </c>
      <c r="D12" t="s">
        <v>9</v>
      </c>
      <c r="E12" t="s">
        <v>9</v>
      </c>
      <c r="F12" t="s">
        <v>9</v>
      </c>
      <c r="G12" t="s">
        <v>9</v>
      </c>
    </row>
    <row r="13" spans="1:7" x14ac:dyDescent="0.2">
      <c r="A13" t="s">
        <v>80</v>
      </c>
      <c r="B13">
        <v>183807</v>
      </c>
      <c r="C13">
        <v>173295</v>
      </c>
      <c r="D13">
        <v>178517</v>
      </c>
      <c r="E13">
        <v>181023</v>
      </c>
      <c r="F13">
        <v>207563</v>
      </c>
      <c r="G13">
        <v>191087</v>
      </c>
    </row>
    <row r="14" spans="1:7" x14ac:dyDescent="0.2">
      <c r="A14" t="s">
        <v>81</v>
      </c>
      <c r="B14">
        <v>605</v>
      </c>
      <c r="C14">
        <v>588</v>
      </c>
      <c r="D14">
        <v>626</v>
      </c>
      <c r="E14">
        <v>607</v>
      </c>
      <c r="F14">
        <v>446</v>
      </c>
      <c r="G14">
        <v>460</v>
      </c>
    </row>
    <row r="15" spans="1:7" x14ac:dyDescent="0.2">
      <c r="A15" t="s">
        <v>82</v>
      </c>
      <c r="B15">
        <v>38</v>
      </c>
      <c r="C15">
        <v>36</v>
      </c>
      <c r="D15">
        <v>45</v>
      </c>
      <c r="E15">
        <v>45</v>
      </c>
      <c r="F15">
        <v>39</v>
      </c>
      <c r="G15">
        <v>34</v>
      </c>
    </row>
    <row r="16" spans="1:7" x14ac:dyDescent="0.2">
      <c r="A16" t="s">
        <v>83</v>
      </c>
      <c r="B16">
        <v>18958</v>
      </c>
      <c r="C16">
        <v>16411</v>
      </c>
      <c r="D16">
        <v>15958</v>
      </c>
      <c r="E16">
        <v>15534</v>
      </c>
      <c r="F16">
        <v>16428</v>
      </c>
      <c r="G16">
        <v>15384</v>
      </c>
    </row>
    <row r="17" spans="1:7" x14ac:dyDescent="0.2">
      <c r="A17" t="s">
        <v>84</v>
      </c>
      <c r="B17">
        <v>80</v>
      </c>
      <c r="C17">
        <v>70</v>
      </c>
      <c r="D17">
        <v>75</v>
      </c>
      <c r="E17">
        <v>70</v>
      </c>
      <c r="F17">
        <v>89</v>
      </c>
      <c r="G17">
        <v>83</v>
      </c>
    </row>
    <row r="18" spans="1:7" x14ac:dyDescent="0.2">
      <c r="A18" t="s">
        <v>73</v>
      </c>
      <c r="B18">
        <v>73523</v>
      </c>
      <c r="C18">
        <v>75519</v>
      </c>
      <c r="D18">
        <v>73935</v>
      </c>
      <c r="E18">
        <v>74195</v>
      </c>
      <c r="F18">
        <v>72285</v>
      </c>
      <c r="G18">
        <v>72382</v>
      </c>
    </row>
    <row r="19" spans="1:7" x14ac:dyDescent="0.2">
      <c r="A19" t="s">
        <v>74</v>
      </c>
      <c r="B19">
        <v>102720</v>
      </c>
      <c r="C19">
        <v>108894</v>
      </c>
      <c r="D19">
        <v>111200</v>
      </c>
      <c r="E19">
        <v>115970</v>
      </c>
      <c r="F19">
        <v>107336</v>
      </c>
      <c r="G19">
        <v>111051</v>
      </c>
    </row>
    <row r="20" spans="1:7" x14ac:dyDescent="0.2">
      <c r="A20" t="s">
        <v>85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2">
      <c r="A21" t="s">
        <v>86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 spans="1:7" x14ac:dyDescent="0.2">
      <c r="A22" t="s">
        <v>87</v>
      </c>
      <c r="B22">
        <f>B11/SUM(B11:B19)</f>
        <v>0.60734145950777907</v>
      </c>
      <c r="C22">
        <f t="shared" ref="C22:G22" si="3">C11/SUM(C11:C19)</f>
        <v>0.61019064982257154</v>
      </c>
      <c r="D22">
        <f t="shared" si="3"/>
        <v>0.59602950048006254</v>
      </c>
      <c r="E22">
        <f t="shared" si="3"/>
        <v>0.59833172124442902</v>
      </c>
      <c r="F22">
        <f t="shared" si="3"/>
        <v>0.59492770181156374</v>
      </c>
      <c r="G22">
        <f t="shared" si="3"/>
        <v>0.61019297634390135</v>
      </c>
    </row>
    <row r="23" spans="1:7" x14ac:dyDescent="0.2">
      <c r="A23" t="s">
        <v>88</v>
      </c>
      <c r="B23">
        <f>(B15+B16+B18+B19)/SUM(B11:B19)</f>
        <v>0.20176509189742212</v>
      </c>
      <c r="C23">
        <f t="shared" ref="C23:G23" si="4">(C15+C16+C18+C19)/SUM(C11:C19)</f>
        <v>0.20877725090896995</v>
      </c>
      <c r="D23">
        <f t="shared" si="4"/>
        <v>0.21362570416252452</v>
      </c>
      <c r="E23">
        <f t="shared" si="4"/>
        <v>0.21329750452784457</v>
      </c>
      <c r="F23">
        <f t="shared" si="4"/>
        <v>0.19651798134317888</v>
      </c>
      <c r="G23">
        <f t="shared" si="4"/>
        <v>0.1985077800482965</v>
      </c>
    </row>
    <row r="24" spans="1:7" x14ac:dyDescent="0.2">
      <c r="A24" t="s">
        <v>89</v>
      </c>
      <c r="B24">
        <f>B23/B22</f>
        <v>0.33221030565070098</v>
      </c>
      <c r="C24">
        <f t="shared" ref="C24:G24" si="5">C23/C22</f>
        <v>0.34215085231095765</v>
      </c>
      <c r="D24">
        <f t="shared" si="5"/>
        <v>0.35841464892335545</v>
      </c>
      <c r="E24">
        <f t="shared" si="5"/>
        <v>0.35648704047350482</v>
      </c>
      <c r="F24">
        <f t="shared" si="5"/>
        <v>0.3303224589219475</v>
      </c>
      <c r="G24">
        <f t="shared" si="5"/>
        <v>0.32531967384760363</v>
      </c>
    </row>
    <row r="25" spans="1:7" ht="17" x14ac:dyDescent="0.2">
      <c r="A25" s="6" t="s">
        <v>32</v>
      </c>
      <c r="B25" t="s">
        <v>43</v>
      </c>
      <c r="C25" t="s">
        <v>43</v>
      </c>
      <c r="D25" t="s">
        <v>43</v>
      </c>
      <c r="E25" t="s">
        <v>43</v>
      </c>
      <c r="F25" t="s">
        <v>43</v>
      </c>
      <c r="G25" t="s">
        <v>43</v>
      </c>
    </row>
    <row r="26" spans="1:7" x14ac:dyDescent="0.2">
      <c r="A26" t="s">
        <v>18</v>
      </c>
      <c r="B26">
        <f t="shared" ref="B26:G28" si="6">1/2*(B7+B22)</f>
        <v>0.714596301243419</v>
      </c>
      <c r="C26">
        <f t="shared" si="6"/>
        <v>0.72624677878540345</v>
      </c>
      <c r="D26">
        <f t="shared" si="6"/>
        <v>0.73094708654446172</v>
      </c>
      <c r="E26">
        <f t="shared" si="6"/>
        <v>0.68370380143246412</v>
      </c>
      <c r="F26">
        <f t="shared" si="6"/>
        <v>0.72114282451296907</v>
      </c>
      <c r="G26">
        <f t="shared" si="6"/>
        <v>0.73818856225253482</v>
      </c>
    </row>
    <row r="27" spans="1:7" x14ac:dyDescent="0.2">
      <c r="A27" t="s">
        <v>7</v>
      </c>
      <c r="B27">
        <f t="shared" si="6"/>
        <v>0.12206377826111831</v>
      </c>
      <c r="C27">
        <f t="shared" si="6"/>
        <v>0.12096926374137296</v>
      </c>
      <c r="D27">
        <f t="shared" si="6"/>
        <v>0.1200036162616437</v>
      </c>
      <c r="E27">
        <f t="shared" si="6"/>
        <v>0.14450257702582267</v>
      </c>
      <c r="F27">
        <f t="shared" si="6"/>
        <v>0.11356340451137001</v>
      </c>
      <c r="G27">
        <f t="shared" si="6"/>
        <v>0.1117054354639742</v>
      </c>
    </row>
    <row r="28" spans="1:7" x14ac:dyDescent="0.2">
      <c r="A28" t="s">
        <v>8</v>
      </c>
      <c r="B28">
        <f t="shared" si="6"/>
        <v>0.19187774253743531</v>
      </c>
      <c r="C28">
        <f t="shared" si="6"/>
        <v>0.19076031401988586</v>
      </c>
      <c r="D28">
        <f t="shared" si="6"/>
        <v>0.19444153437653372</v>
      </c>
      <c r="E28">
        <f t="shared" si="6"/>
        <v>0.2274634030422561</v>
      </c>
      <c r="F28">
        <f t="shared" si="6"/>
        <v>0.18322256220717939</v>
      </c>
      <c r="G28">
        <f t="shared" si="6"/>
        <v>0.17703500814606382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062D-0543-2745-830E-6F5A194F3B01}">
  <dimension ref="A1:G22"/>
  <sheetViews>
    <sheetView workbookViewId="0">
      <selection activeCell="K31" sqref="K31"/>
    </sheetView>
  </sheetViews>
  <sheetFormatPr baseColWidth="10" defaultRowHeight="16" x14ac:dyDescent="0.2"/>
  <sheetData>
    <row r="1" spans="1:7" x14ac:dyDescent="0.2">
      <c r="A1" s="7"/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46</v>
      </c>
      <c r="B2">
        <v>1119480</v>
      </c>
      <c r="C2">
        <v>1285910</v>
      </c>
      <c r="D2">
        <v>1265201</v>
      </c>
      <c r="E2">
        <v>1187826</v>
      </c>
      <c r="F2">
        <v>1105457</v>
      </c>
      <c r="G2">
        <v>1222798</v>
      </c>
    </row>
    <row r="3" spans="1:7" x14ac:dyDescent="0.2">
      <c r="A3" t="s">
        <v>90</v>
      </c>
      <c r="B3">
        <v>54961</v>
      </c>
      <c r="C3">
        <v>65646</v>
      </c>
      <c r="D3">
        <v>66404</v>
      </c>
      <c r="E3">
        <v>62186</v>
      </c>
      <c r="F3">
        <v>60353</v>
      </c>
      <c r="G3">
        <v>69431</v>
      </c>
    </row>
    <row r="4" spans="1:7" x14ac:dyDescent="0.2">
      <c r="A4" t="s">
        <v>91</v>
      </c>
      <c r="B4">
        <v>15012</v>
      </c>
      <c r="C4">
        <v>17163</v>
      </c>
      <c r="D4">
        <v>16907</v>
      </c>
      <c r="E4">
        <v>16197</v>
      </c>
      <c r="F4">
        <v>15486</v>
      </c>
      <c r="G4">
        <v>18423</v>
      </c>
    </row>
    <row r="5" spans="1:7" x14ac:dyDescent="0.2">
      <c r="A5" t="s">
        <v>47</v>
      </c>
      <c r="B5">
        <v>18751</v>
      </c>
      <c r="C5">
        <v>19361</v>
      </c>
      <c r="D5">
        <v>23932</v>
      </c>
      <c r="E5">
        <v>31194</v>
      </c>
      <c r="F5">
        <v>31618</v>
      </c>
      <c r="G5">
        <v>23163</v>
      </c>
    </row>
    <row r="6" spans="1:7" x14ac:dyDescent="0.2">
      <c r="A6" t="s">
        <v>92</v>
      </c>
      <c r="B6">
        <v>155107</v>
      </c>
      <c r="C6">
        <v>144524</v>
      </c>
      <c r="D6">
        <v>155685</v>
      </c>
      <c r="E6">
        <v>155751</v>
      </c>
      <c r="F6">
        <v>149137</v>
      </c>
      <c r="G6">
        <v>147833</v>
      </c>
    </row>
    <row r="7" spans="1:7" x14ac:dyDescent="0.2">
      <c r="A7" t="s">
        <v>93</v>
      </c>
      <c r="B7">
        <v>409763</v>
      </c>
      <c r="C7">
        <v>378715</v>
      </c>
      <c r="D7">
        <v>397158</v>
      </c>
      <c r="E7">
        <v>420732</v>
      </c>
      <c r="F7">
        <v>387662</v>
      </c>
      <c r="G7">
        <v>379101</v>
      </c>
    </row>
    <row r="8" spans="1:7" x14ac:dyDescent="0.2">
      <c r="A8" t="s">
        <v>94</v>
      </c>
      <c r="B8">
        <v>9446</v>
      </c>
      <c r="C8">
        <v>9325</v>
      </c>
      <c r="D8">
        <v>10154</v>
      </c>
      <c r="E8">
        <v>11961</v>
      </c>
      <c r="F8">
        <v>9681</v>
      </c>
      <c r="G8">
        <v>9888</v>
      </c>
    </row>
    <row r="9" spans="1:7" x14ac:dyDescent="0.2">
      <c r="A9" t="s">
        <v>95</v>
      </c>
      <c r="B9">
        <v>32396</v>
      </c>
      <c r="C9">
        <v>30552</v>
      </c>
      <c r="D9">
        <v>30866</v>
      </c>
      <c r="E9">
        <v>33233</v>
      </c>
      <c r="F9">
        <v>31026</v>
      </c>
      <c r="G9">
        <v>29972</v>
      </c>
    </row>
    <row r="10" spans="1:7" x14ac:dyDescent="0.2">
      <c r="A10" t="s">
        <v>96</v>
      </c>
      <c r="B10">
        <v>18</v>
      </c>
      <c r="C10">
        <v>0</v>
      </c>
      <c r="D10">
        <v>0</v>
      </c>
      <c r="E10">
        <v>0</v>
      </c>
      <c r="F10">
        <v>0</v>
      </c>
      <c r="G10">
        <v>3</v>
      </c>
    </row>
    <row r="11" spans="1:7" x14ac:dyDescent="0.2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100</v>
      </c>
      <c r="B14">
        <v>2546</v>
      </c>
      <c r="C14">
        <v>2601</v>
      </c>
      <c r="D14">
        <v>3024</v>
      </c>
      <c r="E14">
        <v>3288</v>
      </c>
      <c r="F14">
        <v>3277</v>
      </c>
      <c r="G14">
        <v>3308</v>
      </c>
    </row>
    <row r="15" spans="1:7" x14ac:dyDescent="0.2">
      <c r="A15" t="s">
        <v>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102</v>
      </c>
      <c r="B16">
        <v>454563</v>
      </c>
      <c r="C16">
        <v>409875</v>
      </c>
      <c r="D16">
        <v>429691</v>
      </c>
      <c r="E16">
        <v>456763</v>
      </c>
      <c r="F16">
        <v>429746</v>
      </c>
      <c r="G16">
        <v>432154</v>
      </c>
    </row>
    <row r="17" spans="1:7" x14ac:dyDescent="0.2">
      <c r="A17" t="s">
        <v>103</v>
      </c>
      <c r="B17">
        <v>60209</v>
      </c>
      <c r="C17">
        <v>50195</v>
      </c>
      <c r="D17">
        <v>53623</v>
      </c>
      <c r="E17">
        <v>53153</v>
      </c>
      <c r="F17">
        <v>47579</v>
      </c>
      <c r="G17">
        <v>47876</v>
      </c>
    </row>
    <row r="18" spans="1:7" x14ac:dyDescent="0.2">
      <c r="A18" t="s">
        <v>104</v>
      </c>
      <c r="B18">
        <v>163104</v>
      </c>
      <c r="C18">
        <v>153156</v>
      </c>
      <c r="D18">
        <v>153420</v>
      </c>
      <c r="E18">
        <v>150059</v>
      </c>
      <c r="F18">
        <v>142356</v>
      </c>
      <c r="G18">
        <v>141296</v>
      </c>
    </row>
    <row r="19" spans="1:7" x14ac:dyDescent="0.2">
      <c r="A19" t="s">
        <v>105</v>
      </c>
      <c r="B19">
        <v>163612</v>
      </c>
      <c r="C19">
        <v>97285</v>
      </c>
      <c r="D19">
        <v>149922</v>
      </c>
      <c r="E19">
        <v>129254</v>
      </c>
      <c r="F19">
        <v>117884</v>
      </c>
      <c r="G19">
        <v>162340</v>
      </c>
    </row>
    <row r="20" spans="1:7" x14ac:dyDescent="0.2">
      <c r="A20" t="s">
        <v>18</v>
      </c>
      <c r="B20">
        <f>(B2+B3+B4)/SUM(B2:B19)</f>
        <v>0.44733633499914255</v>
      </c>
      <c r="C20">
        <f t="shared" ref="C20:G20" si="0">(C2+C3+C4)/SUM(C2:C19)</f>
        <v>0.51372401389028599</v>
      </c>
      <c r="D20">
        <f t="shared" si="0"/>
        <v>0.48930274344545166</v>
      </c>
      <c r="E20">
        <f t="shared" si="0"/>
        <v>0.46696061398504274</v>
      </c>
      <c r="F20">
        <f t="shared" si="0"/>
        <v>0.4666826270848296</v>
      </c>
      <c r="G20">
        <f t="shared" si="0"/>
        <v>0.48766885971276824</v>
      </c>
    </row>
    <row r="21" spans="1:7" x14ac:dyDescent="0.2">
      <c r="A21" t="s">
        <v>7</v>
      </c>
      <c r="B21">
        <f>(B16+B17+B18+B19)/SUM(B2:B19)</f>
        <v>0.31647165366412833</v>
      </c>
      <c r="C21">
        <f t="shared" ref="C21:G21" si="1">(C16+C17+C18+C19)/SUM(C2:C19)</f>
        <v>0.26667750124985551</v>
      </c>
      <c r="D21">
        <f t="shared" si="1"/>
        <v>0.2854353086571163</v>
      </c>
      <c r="E21">
        <f t="shared" si="1"/>
        <v>0.2910568937788322</v>
      </c>
      <c r="F21">
        <f t="shared" si="1"/>
        <v>0.29138232233565708</v>
      </c>
      <c r="G21">
        <f t="shared" si="1"/>
        <v>0.2915873203685389</v>
      </c>
    </row>
    <row r="22" spans="1:7" x14ac:dyDescent="0.2">
      <c r="A22" t="s">
        <v>8</v>
      </c>
      <c r="B22">
        <f>B21/B20</f>
        <v>0.70745796597259403</v>
      </c>
      <c r="C22">
        <f t="shared" ref="C22:G22" si="2">C21/C20</f>
        <v>0.51910655145431606</v>
      </c>
      <c r="D22">
        <f t="shared" si="2"/>
        <v>0.58335113072779476</v>
      </c>
      <c r="E22">
        <f t="shared" si="2"/>
        <v>0.62330073471283187</v>
      </c>
      <c r="F22">
        <f t="shared" si="2"/>
        <v>0.6243693367284745</v>
      </c>
      <c r="G22">
        <f t="shared" si="2"/>
        <v>0.5979207295300355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AD97-115F-F145-9D4C-01DB1EDFEA34}">
  <dimension ref="A1:G8"/>
  <sheetViews>
    <sheetView workbookViewId="0">
      <selection activeCell="G22" sqref="G22"/>
    </sheetView>
  </sheetViews>
  <sheetFormatPr baseColWidth="10" defaultRowHeight="16" x14ac:dyDescent="0.2"/>
  <cols>
    <col min="1" max="1" width="19.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59</v>
      </c>
      <c r="B2">
        <v>5230.8</v>
      </c>
      <c r="C2">
        <v>5166.2</v>
      </c>
      <c r="D2">
        <v>5413.7</v>
      </c>
      <c r="E2">
        <v>5267</v>
      </c>
      <c r="F2">
        <v>5009.8</v>
      </c>
      <c r="G2">
        <v>5496</v>
      </c>
    </row>
    <row r="3" spans="1:7" x14ac:dyDescent="0.2">
      <c r="A3" t="s">
        <v>60</v>
      </c>
      <c r="B3">
        <v>364.5</v>
      </c>
      <c r="C3">
        <v>307.60000000000002</v>
      </c>
      <c r="D3">
        <v>318.5</v>
      </c>
      <c r="E3">
        <v>362.6</v>
      </c>
      <c r="F3">
        <v>287.8</v>
      </c>
      <c r="G3">
        <v>280.60000000000002</v>
      </c>
    </row>
    <row r="4" spans="1:7" x14ac:dyDescent="0.2">
      <c r="A4" t="s">
        <v>106</v>
      </c>
      <c r="B4">
        <v>293.2</v>
      </c>
      <c r="C4">
        <v>265.89999999999998</v>
      </c>
      <c r="D4">
        <v>270.39999999999998</v>
      </c>
      <c r="E4">
        <v>329.5</v>
      </c>
      <c r="F4">
        <v>286</v>
      </c>
      <c r="G4">
        <v>239.2</v>
      </c>
    </row>
    <row r="5" spans="1:7" x14ac:dyDescent="0.2">
      <c r="A5" t="s">
        <v>107</v>
      </c>
      <c r="B5">
        <v>15.1</v>
      </c>
      <c r="C5">
        <v>17.2</v>
      </c>
      <c r="D5">
        <v>18.600000000000001</v>
      </c>
      <c r="E5">
        <v>22.4</v>
      </c>
      <c r="F5">
        <v>12.6</v>
      </c>
      <c r="G5">
        <v>20.9</v>
      </c>
    </row>
    <row r="6" spans="1:7" x14ac:dyDescent="0.2">
      <c r="A6" t="s">
        <v>18</v>
      </c>
      <c r="B6">
        <f>B2/SUM(B2:B5)</f>
        <v>0.8860356392709533</v>
      </c>
      <c r="C6">
        <f t="shared" ref="C6:G6" si="0">C2/SUM(C2:C5)</f>
        <v>0.89739269398460975</v>
      </c>
      <c r="D6">
        <f t="shared" si="0"/>
        <v>0.89910649040058455</v>
      </c>
      <c r="E6">
        <f t="shared" si="0"/>
        <v>0.88054835743542592</v>
      </c>
      <c r="F6">
        <f t="shared" si="0"/>
        <v>0.89521460991387003</v>
      </c>
      <c r="G6">
        <f t="shared" si="0"/>
        <v>0.91043119585203836</v>
      </c>
    </row>
    <row r="7" spans="1:7" x14ac:dyDescent="0.2">
      <c r="A7" t="s">
        <v>7</v>
      </c>
      <c r="B7">
        <f>SUM(B3:B5)/SUM(B2:B5)</f>
        <v>0.11396436072904668</v>
      </c>
      <c r="C7">
        <f t="shared" ref="C7:G7" si="1">SUM(C3:C5)/SUM(C2:C5)</f>
        <v>0.10260730601539024</v>
      </c>
      <c r="D7">
        <f t="shared" si="1"/>
        <v>0.1008935095994154</v>
      </c>
      <c r="E7">
        <f t="shared" si="1"/>
        <v>0.11945164256457411</v>
      </c>
      <c r="F7">
        <f t="shared" si="1"/>
        <v>0.10478539008612986</v>
      </c>
      <c r="G7">
        <f t="shared" si="1"/>
        <v>8.9568804147961631E-2</v>
      </c>
    </row>
    <row r="8" spans="1:7" x14ac:dyDescent="0.2">
      <c r="A8" t="s">
        <v>8</v>
      </c>
      <c r="B8">
        <f>B7/B6</f>
        <v>0.12862277280721879</v>
      </c>
      <c r="C8">
        <f t="shared" ref="C8:G8" si="2">C7/C6</f>
        <v>0.11433935968410051</v>
      </c>
      <c r="D8">
        <f t="shared" si="2"/>
        <v>0.11221530561353603</v>
      </c>
      <c r="E8">
        <f t="shared" si="2"/>
        <v>0.13565597114106703</v>
      </c>
      <c r="F8">
        <f t="shared" si="2"/>
        <v>0.11705058086151143</v>
      </c>
      <c r="G8">
        <f t="shared" si="2"/>
        <v>9.8380640465793298E-2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BCF0-C8F0-F746-B539-34EB5B474ED6}">
  <dimension ref="A1:G7"/>
  <sheetViews>
    <sheetView workbookViewId="0">
      <selection activeCell="E8" sqref="E8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0.5</v>
      </c>
      <c r="C2">
        <v>0.52</v>
      </c>
      <c r="D2">
        <v>0.53</v>
      </c>
      <c r="E2">
        <v>0.5</v>
      </c>
      <c r="F2">
        <v>0.52</v>
      </c>
      <c r="G2">
        <v>0.52</v>
      </c>
    </row>
    <row r="3" spans="1:7" x14ac:dyDescent="0.2">
      <c r="A3" t="s">
        <v>44</v>
      </c>
      <c r="B3">
        <v>0.17</v>
      </c>
      <c r="C3">
        <v>0.16</v>
      </c>
      <c r="D3">
        <v>0.16</v>
      </c>
      <c r="E3">
        <v>0.15</v>
      </c>
      <c r="F3">
        <v>0.15</v>
      </c>
      <c r="G3">
        <v>0.16</v>
      </c>
    </row>
    <row r="4" spans="1:7" x14ac:dyDescent="0.2">
      <c r="A4" t="s">
        <v>45</v>
      </c>
      <c r="B4">
        <v>0.32</v>
      </c>
      <c r="C4">
        <v>0.32</v>
      </c>
      <c r="D4">
        <v>0.31</v>
      </c>
      <c r="E4">
        <v>0.34</v>
      </c>
      <c r="F4">
        <v>0.33</v>
      </c>
      <c r="G4">
        <v>0.32</v>
      </c>
    </row>
    <row r="5" spans="1:7" ht="17" x14ac:dyDescent="0.2">
      <c r="A5" s="1" t="s">
        <v>18</v>
      </c>
      <c r="B5">
        <f>B2</f>
        <v>0.5</v>
      </c>
      <c r="C5">
        <f t="shared" ref="C5:G5" si="0">C2</f>
        <v>0.52</v>
      </c>
      <c r="D5">
        <f t="shared" si="0"/>
        <v>0.53</v>
      </c>
      <c r="E5">
        <f t="shared" si="0"/>
        <v>0.5</v>
      </c>
      <c r="F5">
        <f t="shared" si="0"/>
        <v>0.52</v>
      </c>
      <c r="G5">
        <f t="shared" si="0"/>
        <v>0.52</v>
      </c>
    </row>
    <row r="6" spans="1:7" ht="17" x14ac:dyDescent="0.2">
      <c r="A6" s="1" t="s">
        <v>7</v>
      </c>
      <c r="B6">
        <f>B4</f>
        <v>0.32</v>
      </c>
      <c r="C6">
        <f t="shared" ref="C6:G6" si="1">C4</f>
        <v>0.32</v>
      </c>
      <c r="D6">
        <f t="shared" si="1"/>
        <v>0.31</v>
      </c>
      <c r="E6">
        <f t="shared" si="1"/>
        <v>0.34</v>
      </c>
      <c r="F6">
        <f t="shared" si="1"/>
        <v>0.33</v>
      </c>
      <c r="G6">
        <f t="shared" si="1"/>
        <v>0.32</v>
      </c>
    </row>
    <row r="7" spans="1:7" ht="17" x14ac:dyDescent="0.2">
      <c r="A7" s="1" t="s">
        <v>8</v>
      </c>
      <c r="B7">
        <f>B6/B5</f>
        <v>0.64</v>
      </c>
      <c r="C7">
        <f t="shared" ref="C7:G7" si="2">C6/C5</f>
        <v>0.61538461538461542</v>
      </c>
      <c r="D7">
        <f t="shared" si="2"/>
        <v>0.58490566037735847</v>
      </c>
      <c r="E7">
        <f t="shared" si="2"/>
        <v>0.68</v>
      </c>
      <c r="F7">
        <f t="shared" si="2"/>
        <v>0.63461538461538458</v>
      </c>
      <c r="G7">
        <f t="shared" si="2"/>
        <v>0.61538461538461542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EC51-0784-9549-BB3D-F79887ABD6CF}">
  <dimension ref="A1:G18"/>
  <sheetViews>
    <sheetView workbookViewId="0">
      <selection activeCell="K21" sqref="K21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108</v>
      </c>
      <c r="B2">
        <v>27421380</v>
      </c>
      <c r="C2">
        <v>22647952</v>
      </c>
      <c r="D2">
        <v>29989144</v>
      </c>
      <c r="E2">
        <v>36559808</v>
      </c>
      <c r="F2">
        <v>45476412</v>
      </c>
      <c r="G2">
        <v>44755962</v>
      </c>
    </row>
    <row r="3" spans="1:7" x14ac:dyDescent="0.2">
      <c r="A3" t="s">
        <v>47</v>
      </c>
      <c r="B3">
        <v>5338730</v>
      </c>
      <c r="C3">
        <v>4673601</v>
      </c>
      <c r="D3">
        <v>4507668</v>
      </c>
      <c r="E3">
        <v>7442373</v>
      </c>
      <c r="F3">
        <v>6444116</v>
      </c>
      <c r="G3">
        <v>7469643</v>
      </c>
    </row>
    <row r="4" spans="1:7" x14ac:dyDescent="0.2">
      <c r="A4" t="s">
        <v>109</v>
      </c>
      <c r="B4">
        <v>1639906</v>
      </c>
      <c r="C4">
        <v>1591225</v>
      </c>
      <c r="D4">
        <v>1425819</v>
      </c>
      <c r="E4">
        <v>1690711</v>
      </c>
      <c r="F4">
        <v>1536498</v>
      </c>
      <c r="G4">
        <v>2192810</v>
      </c>
    </row>
    <row r="5" spans="1:7" x14ac:dyDescent="0.2">
      <c r="A5" t="s">
        <v>110</v>
      </c>
      <c r="B5">
        <v>6033</v>
      </c>
      <c r="C5">
        <v>5103</v>
      </c>
      <c r="D5">
        <v>4872</v>
      </c>
      <c r="E5">
        <v>2847</v>
      </c>
      <c r="F5">
        <v>4190</v>
      </c>
      <c r="G5">
        <v>6407</v>
      </c>
    </row>
    <row r="6" spans="1:7" x14ac:dyDescent="0.2">
      <c r="A6" t="s">
        <v>111</v>
      </c>
    </row>
    <row r="7" spans="1:7" x14ac:dyDescent="0.2">
      <c r="A7" t="s">
        <v>108</v>
      </c>
      <c r="B7">
        <v>23755052</v>
      </c>
      <c r="C7">
        <v>27380949</v>
      </c>
      <c r="D7">
        <v>36099168</v>
      </c>
      <c r="E7">
        <v>47737152</v>
      </c>
      <c r="F7">
        <v>45568672</v>
      </c>
      <c r="G7">
        <v>46604084</v>
      </c>
    </row>
    <row r="8" spans="1:7" x14ac:dyDescent="0.2">
      <c r="A8" t="s">
        <v>47</v>
      </c>
      <c r="B8">
        <v>3965423</v>
      </c>
      <c r="C8">
        <v>4262874</v>
      </c>
      <c r="D8">
        <v>7022630</v>
      </c>
      <c r="E8">
        <v>8480977</v>
      </c>
      <c r="F8">
        <v>6757297</v>
      </c>
      <c r="G8">
        <v>7340948</v>
      </c>
    </row>
    <row r="9" spans="1:7" x14ac:dyDescent="0.2">
      <c r="A9" t="s">
        <v>109</v>
      </c>
      <c r="B9">
        <v>1410444</v>
      </c>
      <c r="C9">
        <v>1319747</v>
      </c>
      <c r="D9">
        <v>1705001</v>
      </c>
      <c r="E9">
        <v>2436525</v>
      </c>
      <c r="F9">
        <v>1736588</v>
      </c>
      <c r="G9">
        <v>2716645</v>
      </c>
    </row>
    <row r="10" spans="1:7" x14ac:dyDescent="0.2">
      <c r="A10" t="s">
        <v>110</v>
      </c>
      <c r="B10">
        <v>6032</v>
      </c>
      <c r="C10">
        <v>4077</v>
      </c>
      <c r="D10">
        <v>4173</v>
      </c>
      <c r="E10">
        <v>5076</v>
      </c>
      <c r="F10">
        <v>4755</v>
      </c>
      <c r="G10">
        <v>1574</v>
      </c>
    </row>
    <row r="11" spans="1:7" x14ac:dyDescent="0.2">
      <c r="A11" t="s">
        <v>111</v>
      </c>
    </row>
    <row r="12" spans="1:7" x14ac:dyDescent="0.2">
      <c r="A12" t="s">
        <v>108</v>
      </c>
      <c r="B12">
        <f>B2+B7</f>
        <v>51176432</v>
      </c>
      <c r="C12">
        <f t="shared" ref="C12:G12" si="0">C2+C7</f>
        <v>50028901</v>
      </c>
      <c r="D12">
        <f t="shared" si="0"/>
        <v>66088312</v>
      </c>
      <c r="E12">
        <f t="shared" si="0"/>
        <v>84296960</v>
      </c>
      <c r="F12">
        <f t="shared" si="0"/>
        <v>91045084</v>
      </c>
      <c r="G12">
        <f t="shared" si="0"/>
        <v>91360046</v>
      </c>
    </row>
    <row r="13" spans="1:7" x14ac:dyDescent="0.2">
      <c r="A13" t="s">
        <v>47</v>
      </c>
      <c r="B13">
        <f t="shared" ref="B13:G15" si="1">B3+B8</f>
        <v>9304153</v>
      </c>
      <c r="C13">
        <f t="shared" si="1"/>
        <v>8936475</v>
      </c>
      <c r="D13">
        <f t="shared" si="1"/>
        <v>11530298</v>
      </c>
      <c r="E13">
        <f t="shared" si="1"/>
        <v>15923350</v>
      </c>
      <c r="F13">
        <f t="shared" si="1"/>
        <v>13201413</v>
      </c>
      <c r="G13">
        <f t="shared" si="1"/>
        <v>14810591</v>
      </c>
    </row>
    <row r="14" spans="1:7" x14ac:dyDescent="0.2">
      <c r="A14" t="s">
        <v>109</v>
      </c>
      <c r="B14">
        <f t="shared" si="1"/>
        <v>3050350</v>
      </c>
      <c r="C14">
        <f t="shared" si="1"/>
        <v>2910972</v>
      </c>
      <c r="D14">
        <f t="shared" si="1"/>
        <v>3130820</v>
      </c>
      <c r="E14">
        <f t="shared" si="1"/>
        <v>4127236</v>
      </c>
      <c r="F14">
        <f t="shared" si="1"/>
        <v>3273086</v>
      </c>
      <c r="G14">
        <f t="shared" si="1"/>
        <v>4909455</v>
      </c>
    </row>
    <row r="15" spans="1:7" x14ac:dyDescent="0.2">
      <c r="A15" t="s">
        <v>110</v>
      </c>
      <c r="B15">
        <f t="shared" si="1"/>
        <v>12065</v>
      </c>
      <c r="C15">
        <f t="shared" si="1"/>
        <v>9180</v>
      </c>
      <c r="D15">
        <f t="shared" si="1"/>
        <v>9045</v>
      </c>
      <c r="E15">
        <f t="shared" si="1"/>
        <v>7923</v>
      </c>
      <c r="F15">
        <f t="shared" si="1"/>
        <v>8945</v>
      </c>
      <c r="G15">
        <f t="shared" si="1"/>
        <v>7981</v>
      </c>
    </row>
    <row r="16" spans="1:7" x14ac:dyDescent="0.2">
      <c r="A16" t="s">
        <v>18</v>
      </c>
      <c r="B16">
        <f>B12/SUM(B2:B15)</f>
        <v>0.40269134287018238</v>
      </c>
      <c r="C16">
        <f t="shared" ref="C16:G16" si="2">C12/SUM(C2:C15)</f>
        <v>0.40420517216884699</v>
      </c>
      <c r="D16">
        <f t="shared" si="2"/>
        <v>0.40917261005733452</v>
      </c>
      <c r="E16">
        <f t="shared" si="2"/>
        <v>0.40389335033317708</v>
      </c>
      <c r="F16">
        <f t="shared" si="2"/>
        <v>0.4233531588937961</v>
      </c>
      <c r="G16">
        <f t="shared" si="2"/>
        <v>0.41120546757526344</v>
      </c>
    </row>
    <row r="17" spans="1:7" x14ac:dyDescent="0.2">
      <c r="A17" t="s">
        <v>7</v>
      </c>
      <c r="B17">
        <f>B14/SUM(B2:B15)</f>
        <v>2.4002250444580837E-2</v>
      </c>
      <c r="C17">
        <f t="shared" ref="C17:G17" si="3">C14/SUM(C2:C15)</f>
        <v>2.3519004313900336E-2</v>
      </c>
      <c r="D17">
        <f t="shared" si="3"/>
        <v>1.9383847949085219E-2</v>
      </c>
      <c r="E17">
        <f t="shared" si="3"/>
        <v>1.9774890763032266E-2</v>
      </c>
      <c r="F17">
        <f t="shared" si="3"/>
        <v>1.5219616881577696E-2</v>
      </c>
      <c r="G17">
        <f t="shared" si="3"/>
        <v>2.2097129185056616E-2</v>
      </c>
    </row>
    <row r="18" spans="1:7" x14ac:dyDescent="0.2">
      <c r="A18" t="s">
        <v>8</v>
      </c>
      <c r="B18">
        <f>B17/B16</f>
        <v>5.9604585173112505E-2</v>
      </c>
      <c r="C18">
        <f t="shared" ref="C18:G18" si="4">C17/C16</f>
        <v>5.8185807439583771E-2</v>
      </c>
      <c r="D18">
        <f t="shared" si="4"/>
        <v>4.7373278349127759E-2</v>
      </c>
      <c r="E18">
        <f t="shared" si="4"/>
        <v>4.8960674263935494E-2</v>
      </c>
      <c r="F18">
        <f t="shared" si="4"/>
        <v>3.5950167281958899E-2</v>
      </c>
      <c r="G18">
        <f t="shared" si="4"/>
        <v>5.3737440105929894E-2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FBD-87D3-BD40-AB3C-2A179BDE8A50}">
  <dimension ref="A1:G7"/>
  <sheetViews>
    <sheetView workbookViewId="0">
      <selection sqref="A1:G1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0.39</v>
      </c>
      <c r="C2">
        <v>0.4</v>
      </c>
      <c r="D2">
        <v>0.38</v>
      </c>
      <c r="E2">
        <v>0.33</v>
      </c>
      <c r="F2">
        <v>0.39</v>
      </c>
      <c r="G2">
        <v>0.52</v>
      </c>
    </row>
    <row r="3" spans="1:7" x14ac:dyDescent="0.2">
      <c r="A3" t="s">
        <v>44</v>
      </c>
      <c r="B3">
        <v>0.21</v>
      </c>
      <c r="C3">
        <v>0.2</v>
      </c>
      <c r="D3">
        <v>0.22</v>
      </c>
      <c r="E3">
        <v>0.19</v>
      </c>
      <c r="F3">
        <v>0.21</v>
      </c>
      <c r="G3">
        <v>0.16</v>
      </c>
    </row>
    <row r="4" spans="1:7" x14ac:dyDescent="0.2">
      <c r="A4" t="s">
        <v>45</v>
      </c>
      <c r="B4">
        <v>0.4</v>
      </c>
      <c r="C4">
        <v>0.39</v>
      </c>
      <c r="D4">
        <v>0.41</v>
      </c>
      <c r="E4">
        <v>0.48</v>
      </c>
      <c r="F4">
        <v>0.4</v>
      </c>
      <c r="G4">
        <v>0.32</v>
      </c>
    </row>
    <row r="5" spans="1:7" ht="17" x14ac:dyDescent="0.2">
      <c r="A5" s="1" t="s">
        <v>18</v>
      </c>
      <c r="B5">
        <f>B2</f>
        <v>0.39</v>
      </c>
      <c r="C5">
        <f t="shared" ref="C5:G5" si="0">C2</f>
        <v>0.4</v>
      </c>
      <c r="D5">
        <f t="shared" si="0"/>
        <v>0.38</v>
      </c>
      <c r="E5">
        <f t="shared" si="0"/>
        <v>0.33</v>
      </c>
      <c r="F5">
        <f t="shared" si="0"/>
        <v>0.39</v>
      </c>
      <c r="G5">
        <f t="shared" si="0"/>
        <v>0.52</v>
      </c>
    </row>
    <row r="6" spans="1:7" ht="17" x14ac:dyDescent="0.2">
      <c r="A6" s="1" t="s">
        <v>7</v>
      </c>
      <c r="B6">
        <f>B4</f>
        <v>0.4</v>
      </c>
      <c r="C6">
        <f t="shared" ref="C6:G6" si="1">C4</f>
        <v>0.39</v>
      </c>
      <c r="D6">
        <f t="shared" si="1"/>
        <v>0.41</v>
      </c>
      <c r="E6">
        <f t="shared" si="1"/>
        <v>0.48</v>
      </c>
      <c r="F6">
        <f t="shared" si="1"/>
        <v>0.4</v>
      </c>
      <c r="G6">
        <f t="shared" si="1"/>
        <v>0.32</v>
      </c>
    </row>
    <row r="7" spans="1:7" ht="17" x14ac:dyDescent="0.2">
      <c r="A7" s="1" t="s">
        <v>8</v>
      </c>
      <c r="B7">
        <f>B6/B5</f>
        <v>1.0256410256410258</v>
      </c>
      <c r="C7">
        <f t="shared" ref="C7:G7" si="2">C6/C5</f>
        <v>0.97499999999999998</v>
      </c>
      <c r="D7">
        <f t="shared" si="2"/>
        <v>1.0789473684210527</v>
      </c>
      <c r="E7">
        <f t="shared" si="2"/>
        <v>1.4545454545454544</v>
      </c>
      <c r="F7">
        <f t="shared" si="2"/>
        <v>1.0256410256410258</v>
      </c>
      <c r="G7">
        <f t="shared" si="2"/>
        <v>0.61538461538461542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0EBE-F802-2F4B-A536-6F22786B276D}">
  <dimension ref="A1:G17"/>
  <sheetViews>
    <sheetView workbookViewId="0">
      <selection activeCell="I17" sqref="I17:I18"/>
    </sheetView>
  </sheetViews>
  <sheetFormatPr baseColWidth="10" defaultRowHeight="16" x14ac:dyDescent="0.2"/>
  <cols>
    <col min="2" max="7" width="11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 s="5">
        <v>1450707.8</v>
      </c>
      <c r="C2" s="5">
        <v>1436502.42</v>
      </c>
      <c r="D2" s="5">
        <v>1363368.63</v>
      </c>
      <c r="E2" s="5">
        <v>1330088.82</v>
      </c>
      <c r="F2" s="5">
        <v>1392096</v>
      </c>
      <c r="G2" s="2">
        <v>1450405</v>
      </c>
    </row>
    <row r="3" spans="1:7" x14ac:dyDescent="0.2">
      <c r="A3" t="s">
        <v>112</v>
      </c>
      <c r="B3" s="5">
        <v>267896.7</v>
      </c>
      <c r="C3" s="5">
        <v>260120.97</v>
      </c>
      <c r="D3" s="5">
        <v>247976.99</v>
      </c>
      <c r="E3" s="5">
        <v>239185.49</v>
      </c>
      <c r="F3" s="5">
        <v>246261</v>
      </c>
      <c r="G3" s="2">
        <v>248157</v>
      </c>
    </row>
    <row r="4" spans="1:7" x14ac:dyDescent="0.2">
      <c r="A4" t="s">
        <v>113</v>
      </c>
      <c r="B4" s="5">
        <v>71951.460000000006</v>
      </c>
      <c r="C4" s="5">
        <v>65762.03</v>
      </c>
      <c r="D4" s="5">
        <v>64947.839999999997</v>
      </c>
      <c r="E4" s="5">
        <v>68872.820000000007</v>
      </c>
      <c r="F4" s="5">
        <v>64126</v>
      </c>
      <c r="G4" s="2">
        <v>66937</v>
      </c>
    </row>
    <row r="5" spans="1:7" x14ac:dyDescent="0.2">
      <c r="A5" t="s">
        <v>114</v>
      </c>
      <c r="B5" s="5">
        <v>2544.7399999999998</v>
      </c>
      <c r="C5" s="5">
        <v>3800</v>
      </c>
      <c r="D5" s="5">
        <v>1968.15</v>
      </c>
      <c r="E5" s="5">
        <v>2294.96</v>
      </c>
      <c r="F5" s="5">
        <v>2369</v>
      </c>
      <c r="G5" s="2">
        <v>2043</v>
      </c>
    </row>
    <row r="6" spans="1:7" x14ac:dyDescent="0.2">
      <c r="A6" t="s">
        <v>115</v>
      </c>
      <c r="B6">
        <v>22.2</v>
      </c>
      <c r="C6">
        <v>21.97</v>
      </c>
      <c r="D6">
        <v>15.45</v>
      </c>
      <c r="E6">
        <v>54.4</v>
      </c>
      <c r="F6">
        <v>37</v>
      </c>
      <c r="G6">
        <v>62</v>
      </c>
    </row>
    <row r="7" spans="1:7" x14ac:dyDescent="0.2">
      <c r="A7" t="s">
        <v>86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2">
      <c r="A8" t="s">
        <v>81</v>
      </c>
      <c r="B8" s="5">
        <v>2222.5</v>
      </c>
      <c r="C8" s="5">
        <v>2209.86</v>
      </c>
      <c r="D8" s="5">
        <v>2178.7600000000002</v>
      </c>
      <c r="E8" s="5">
        <v>2209.08</v>
      </c>
      <c r="F8" s="5">
        <v>2153</v>
      </c>
      <c r="G8" s="2">
        <v>2398</v>
      </c>
    </row>
    <row r="9" spans="1:7" x14ac:dyDescent="0.2">
      <c r="A9" t="s">
        <v>116</v>
      </c>
      <c r="B9" s="5">
        <v>893714.8</v>
      </c>
      <c r="C9" s="5">
        <v>836022.14</v>
      </c>
      <c r="D9" s="5">
        <v>825777.86</v>
      </c>
      <c r="E9" s="5">
        <v>868628.65</v>
      </c>
      <c r="F9" s="5">
        <v>834142</v>
      </c>
      <c r="G9" s="2">
        <v>881827</v>
      </c>
    </row>
    <row r="10" spans="1:7" x14ac:dyDescent="0.2">
      <c r="A10" t="s">
        <v>117</v>
      </c>
      <c r="B10" s="5">
        <v>16942</v>
      </c>
      <c r="C10" s="5">
        <v>18178.47</v>
      </c>
      <c r="D10" s="5">
        <v>16342.95</v>
      </c>
      <c r="E10" s="5">
        <v>17557.330000000002</v>
      </c>
      <c r="F10" s="5">
        <v>17762</v>
      </c>
      <c r="G10" s="2">
        <v>17255</v>
      </c>
    </row>
    <row r="11" spans="1:7" x14ac:dyDescent="0.2">
      <c r="A11" t="s">
        <v>118</v>
      </c>
      <c r="B11" s="5">
        <v>189843.9</v>
      </c>
      <c r="C11" s="5">
        <v>187153.66</v>
      </c>
      <c r="D11" s="5">
        <v>178113.8</v>
      </c>
      <c r="E11" s="5">
        <v>188909.62</v>
      </c>
      <c r="F11" s="5">
        <v>176853</v>
      </c>
      <c r="G11" s="2">
        <v>181146</v>
      </c>
    </row>
    <row r="12" spans="1:7" x14ac:dyDescent="0.2">
      <c r="A12" t="s">
        <v>119</v>
      </c>
      <c r="B12" s="5">
        <v>286865.7</v>
      </c>
      <c r="C12" s="5">
        <v>259750.13</v>
      </c>
      <c r="D12" s="5">
        <v>275411.37</v>
      </c>
      <c r="E12" s="5">
        <v>265563.99</v>
      </c>
      <c r="F12" s="5">
        <v>278103</v>
      </c>
      <c r="G12" s="2">
        <v>298579</v>
      </c>
    </row>
    <row r="13" spans="1:7" x14ac:dyDescent="0.2">
      <c r="A13" t="s">
        <v>120</v>
      </c>
      <c r="B13" s="5">
        <v>50380.3</v>
      </c>
      <c r="C13" s="5">
        <v>43233.39</v>
      </c>
      <c r="D13" s="5">
        <v>41184.959999999999</v>
      </c>
      <c r="E13" s="5">
        <v>41233.910000000003</v>
      </c>
      <c r="F13" s="5">
        <v>42393</v>
      </c>
      <c r="G13" s="2">
        <v>47527</v>
      </c>
    </row>
    <row r="14" spans="1:7" x14ac:dyDescent="0.2">
      <c r="A14" t="s">
        <v>121</v>
      </c>
      <c r="B14" s="5">
        <v>45901.9</v>
      </c>
      <c r="C14" s="5">
        <v>29157.67</v>
      </c>
      <c r="D14" s="5">
        <v>35914.239999999998</v>
      </c>
      <c r="E14" s="5">
        <v>26815.21</v>
      </c>
      <c r="F14" s="5">
        <v>29867</v>
      </c>
      <c r="G14" s="2">
        <v>35319</v>
      </c>
    </row>
    <row r="15" spans="1:7" x14ac:dyDescent="0.2">
      <c r="A15" t="s">
        <v>18</v>
      </c>
      <c r="B15" s="5">
        <f>(B2+B3)/SUM(B2:B14)</f>
        <v>0.52412553972346398</v>
      </c>
      <c r="C15" s="5">
        <f t="shared" ref="C15:G15" si="0">(C2+C3)/SUM(C2:C14)</f>
        <v>0.5399969848303009</v>
      </c>
      <c r="D15" s="5">
        <f t="shared" si="0"/>
        <v>0.52775615493378913</v>
      </c>
      <c r="E15" s="5">
        <f t="shared" si="0"/>
        <v>0.51427769748786778</v>
      </c>
      <c r="F15" s="5">
        <f t="shared" si="0"/>
        <v>0.5308720021826463</v>
      </c>
      <c r="G15" s="5">
        <f t="shared" si="0"/>
        <v>0.52560127860183092</v>
      </c>
    </row>
    <row r="16" spans="1:7" x14ac:dyDescent="0.2">
      <c r="A16" t="s">
        <v>7</v>
      </c>
      <c r="B16" s="5">
        <f>SUM(B9:B14)/SUM(B2:B14)</f>
        <v>0.45247066630802002</v>
      </c>
      <c r="C16" s="5">
        <f t="shared" ref="C16:G16" si="1">SUM(C9:C14)/SUM(C2:C14)</f>
        <v>0.4371526476940219</v>
      </c>
      <c r="D16" s="5">
        <f t="shared" si="1"/>
        <v>0.44960851905917754</v>
      </c>
      <c r="E16" s="5">
        <f t="shared" si="1"/>
        <v>0.46165763830665424</v>
      </c>
      <c r="F16" s="5">
        <f t="shared" si="1"/>
        <v>0.44687219919109883</v>
      </c>
      <c r="G16" s="5">
        <f t="shared" si="1"/>
        <v>0.45229240126189213</v>
      </c>
    </row>
    <row r="17" spans="1:7" x14ac:dyDescent="0.2">
      <c r="A17" t="s">
        <v>8</v>
      </c>
      <c r="B17">
        <f>B16/B15</f>
        <v>0.86328681206176272</v>
      </c>
      <c r="C17">
        <f t="shared" ref="C17:G17" si="2">C16/C15</f>
        <v>0.80954646039625799</v>
      </c>
      <c r="D17">
        <f t="shared" si="2"/>
        <v>0.85192472860043522</v>
      </c>
      <c r="E17">
        <f t="shared" si="2"/>
        <v>0.89768162329758638</v>
      </c>
      <c r="F17">
        <f t="shared" si="2"/>
        <v>0.84177013923094901</v>
      </c>
      <c r="G17">
        <f t="shared" si="2"/>
        <v>0.86052378423631293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F186-4629-884D-A042-96CF11004BAE}">
  <dimension ref="A1:G8"/>
  <sheetViews>
    <sheetView workbookViewId="0">
      <selection activeCell="B1" sqref="B1:G1"/>
    </sheetView>
  </sheetViews>
  <sheetFormatPr baseColWidth="10" defaultRowHeight="16" x14ac:dyDescent="0.2"/>
  <cols>
    <col min="1" max="1" width="21.832031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122</v>
      </c>
      <c r="B2">
        <v>0.83930000000000005</v>
      </c>
      <c r="C2">
        <v>0.80230000000000001</v>
      </c>
      <c r="D2">
        <v>0.79349999999999998</v>
      </c>
      <c r="E2">
        <v>0.78600000000000003</v>
      </c>
      <c r="F2">
        <v>0.83079999999999998</v>
      </c>
      <c r="G2">
        <v>0.80500000000000005</v>
      </c>
    </row>
    <row r="3" spans="1:7" x14ac:dyDescent="0.2">
      <c r="A3" t="s">
        <v>57</v>
      </c>
      <c r="B3">
        <v>0.14649999999999999</v>
      </c>
      <c r="C3">
        <v>0.17480000000000001</v>
      </c>
      <c r="D3">
        <v>0.16950000000000001</v>
      </c>
      <c r="E3">
        <v>0.18079999999999999</v>
      </c>
      <c r="F3">
        <v>0.14380000000000001</v>
      </c>
      <c r="G3">
        <v>0.17019999999999999</v>
      </c>
    </row>
    <row r="4" spans="1:7" x14ac:dyDescent="0.2">
      <c r="A4" t="s">
        <v>123</v>
      </c>
      <c r="B4">
        <v>1.15E-2</v>
      </c>
      <c r="C4">
        <v>0.02</v>
      </c>
      <c r="D4">
        <v>1.6400000000000001E-2</v>
      </c>
      <c r="E4">
        <v>2.5899999999999999E-2</v>
      </c>
      <c r="F4">
        <v>1.67E-2</v>
      </c>
      <c r="G4">
        <v>2.24E-2</v>
      </c>
    </row>
    <row r="5" spans="1:7" x14ac:dyDescent="0.2">
      <c r="A5" t="s">
        <v>124</v>
      </c>
      <c r="B5">
        <v>2.7000000000000001E-3</v>
      </c>
      <c r="C5">
        <v>2.8999999999999998E-3</v>
      </c>
      <c r="D5">
        <v>2.06E-2</v>
      </c>
      <c r="E5">
        <v>7.3000000000000001E-3</v>
      </c>
      <c r="F5">
        <v>8.6999999999999994E-3</v>
      </c>
      <c r="G5">
        <v>2.3999999999999998E-3</v>
      </c>
    </row>
    <row r="6" spans="1:7" x14ac:dyDescent="0.2">
      <c r="A6" t="s">
        <v>18</v>
      </c>
      <c r="B6">
        <f>B2</f>
        <v>0.83930000000000005</v>
      </c>
      <c r="C6">
        <f t="shared" ref="C6:G6" si="0">C2</f>
        <v>0.80230000000000001</v>
      </c>
      <c r="D6">
        <f t="shared" si="0"/>
        <v>0.79349999999999998</v>
      </c>
      <c r="E6">
        <f t="shared" si="0"/>
        <v>0.78600000000000003</v>
      </c>
      <c r="F6">
        <f t="shared" si="0"/>
        <v>0.83079999999999998</v>
      </c>
      <c r="G6">
        <f t="shared" si="0"/>
        <v>0.80500000000000005</v>
      </c>
    </row>
    <row r="7" spans="1:7" x14ac:dyDescent="0.2">
      <c r="A7" t="s">
        <v>7</v>
      </c>
      <c r="B7">
        <f>B4+B5</f>
        <v>1.4200000000000001E-2</v>
      </c>
      <c r="C7">
        <f t="shared" ref="C7:G7" si="1">C4+C5</f>
        <v>2.29E-2</v>
      </c>
      <c r="D7">
        <f t="shared" si="1"/>
        <v>3.7000000000000005E-2</v>
      </c>
      <c r="E7">
        <f t="shared" si="1"/>
        <v>3.32E-2</v>
      </c>
      <c r="F7">
        <f t="shared" si="1"/>
        <v>2.5399999999999999E-2</v>
      </c>
      <c r="G7">
        <f t="shared" si="1"/>
        <v>2.4799999999999999E-2</v>
      </c>
    </row>
    <row r="8" spans="1:7" x14ac:dyDescent="0.2">
      <c r="A8" t="s">
        <v>8</v>
      </c>
      <c r="B8">
        <f>B7/B6</f>
        <v>1.6918860955558203E-2</v>
      </c>
      <c r="C8">
        <f t="shared" ref="C8:G8" si="2">C7/C6</f>
        <v>2.8542939050230587E-2</v>
      </c>
      <c r="D8">
        <f t="shared" si="2"/>
        <v>4.6628859483301838E-2</v>
      </c>
      <c r="E8">
        <f t="shared" si="2"/>
        <v>4.2239185750636128E-2</v>
      </c>
      <c r="F8">
        <f t="shared" si="2"/>
        <v>3.0572941742898412E-2</v>
      </c>
      <c r="G8">
        <f t="shared" si="2"/>
        <v>3.0807453416149065E-2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EB10-706E-B84C-B76D-CAE2C841E204}">
  <dimension ref="A1:G14"/>
  <sheetViews>
    <sheetView workbookViewId="0">
      <selection activeCell="C12" sqref="C12"/>
    </sheetView>
  </sheetViews>
  <sheetFormatPr baseColWidth="10" defaultRowHeight="16" x14ac:dyDescent="0.2"/>
  <sheetData>
    <row r="1" spans="1:7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">
      <c r="A2" t="s">
        <v>46</v>
      </c>
      <c r="B2">
        <v>4435.3</v>
      </c>
      <c r="C2">
        <v>4459.7</v>
      </c>
      <c r="D2">
        <v>4773.2</v>
      </c>
      <c r="E2">
        <v>4899.3999999999996</v>
      </c>
      <c r="F2">
        <v>4467.3999999999996</v>
      </c>
      <c r="G2">
        <v>4949.6000000000004</v>
      </c>
    </row>
    <row r="3" spans="1:7" x14ac:dyDescent="0.2">
      <c r="A3" t="s">
        <v>125</v>
      </c>
      <c r="B3">
        <v>20.100000000000001</v>
      </c>
      <c r="C3">
        <v>19.399999999999999</v>
      </c>
      <c r="D3">
        <v>19.7</v>
      </c>
      <c r="E3">
        <v>21</v>
      </c>
      <c r="F3">
        <v>15.1</v>
      </c>
      <c r="G3">
        <v>13.8</v>
      </c>
    </row>
    <row r="4" spans="1:7" x14ac:dyDescent="0.2">
      <c r="A4" t="s">
        <v>126</v>
      </c>
      <c r="B4">
        <v>69.7</v>
      </c>
      <c r="C4">
        <v>66</v>
      </c>
      <c r="D4">
        <v>64.8</v>
      </c>
      <c r="E4">
        <v>65.2</v>
      </c>
      <c r="F4">
        <v>61.9</v>
      </c>
      <c r="G4">
        <v>67.900000000000006</v>
      </c>
    </row>
    <row r="5" spans="1:7" x14ac:dyDescent="0.2">
      <c r="A5" t="s">
        <v>127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129</v>
      </c>
      <c r="B7">
        <v>3.3</v>
      </c>
      <c r="C7">
        <v>2.9</v>
      </c>
      <c r="D7">
        <v>3.1</v>
      </c>
      <c r="E7">
        <v>3</v>
      </c>
      <c r="F7">
        <v>2.4</v>
      </c>
      <c r="G7">
        <v>1.6</v>
      </c>
    </row>
    <row r="8" spans="1:7" x14ac:dyDescent="0.2">
      <c r="A8" t="s">
        <v>130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133</v>
      </c>
      <c r="B10">
        <v>1578.2</v>
      </c>
      <c r="C10">
        <v>1565.6</v>
      </c>
      <c r="D10">
        <v>1694.6</v>
      </c>
      <c r="E10">
        <v>1797.2</v>
      </c>
      <c r="F10">
        <v>1756.8</v>
      </c>
      <c r="G10">
        <v>1556.2</v>
      </c>
    </row>
    <row r="11" spans="1:7" x14ac:dyDescent="0.2">
      <c r="A11" t="s">
        <v>132</v>
      </c>
      <c r="B11">
        <v>841.1</v>
      </c>
      <c r="C11">
        <v>827.5</v>
      </c>
      <c r="D11">
        <v>875.5</v>
      </c>
      <c r="E11">
        <v>957.8</v>
      </c>
      <c r="F11">
        <v>903.7</v>
      </c>
      <c r="G11">
        <v>1008.2</v>
      </c>
    </row>
    <row r="12" spans="1:7" x14ac:dyDescent="0.2">
      <c r="A12" t="s">
        <v>18</v>
      </c>
      <c r="B12">
        <f>(B2+B3)/SUM(B2:B11)</f>
        <v>0.64127696935676559</v>
      </c>
      <c r="C12">
        <f t="shared" ref="C12:G12" si="0">(C2+C3)/SUM(C2:C11)</f>
        <v>0.64530117704686585</v>
      </c>
      <c r="D12">
        <f t="shared" si="0"/>
        <v>0.64499589551736669</v>
      </c>
      <c r="E12">
        <f t="shared" si="0"/>
        <v>0.63541505243039409</v>
      </c>
      <c r="F12">
        <f t="shared" si="0"/>
        <v>0.6219388675370805</v>
      </c>
      <c r="G12">
        <f t="shared" si="0"/>
        <v>0.65331104471325341</v>
      </c>
    </row>
    <row r="13" spans="1:7" x14ac:dyDescent="0.2">
      <c r="A13" t="s">
        <v>7</v>
      </c>
      <c r="B13">
        <f>(B10+B11)/SUM(B2:B11)</f>
        <v>0.34821595635965857</v>
      </c>
      <c r="C13">
        <f t="shared" ref="C13:G13" si="1">(C10+C11)/SUM(C2:C11)</f>
        <v>0.34477244240826388</v>
      </c>
      <c r="D13">
        <f t="shared" si="1"/>
        <v>0.34586658412843668</v>
      </c>
      <c r="E13">
        <f t="shared" si="1"/>
        <v>0.35577767446665637</v>
      </c>
      <c r="F13">
        <f t="shared" si="1"/>
        <v>0.36913962232736258</v>
      </c>
      <c r="G13">
        <f t="shared" si="1"/>
        <v>0.3375409685019678</v>
      </c>
    </row>
    <row r="14" spans="1:7" x14ac:dyDescent="0.2">
      <c r="A14" t="s">
        <v>8</v>
      </c>
      <c r="B14">
        <f>B13/B12</f>
        <v>0.54300399515195041</v>
      </c>
      <c r="C14">
        <f t="shared" ref="C14:G14" si="2">C13/C12</f>
        <v>0.53428144046795123</v>
      </c>
      <c r="D14">
        <f t="shared" si="2"/>
        <v>0.53623067453942286</v>
      </c>
      <c r="E14">
        <f t="shared" si="2"/>
        <v>0.55991382814405344</v>
      </c>
      <c r="F14">
        <f t="shared" si="2"/>
        <v>0.59353039598438373</v>
      </c>
      <c r="G14">
        <f t="shared" si="2"/>
        <v>0.51666196558810495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65CF-BBE0-F84F-A3F2-947B88051C92}">
  <dimension ref="A1:G11"/>
  <sheetViews>
    <sheetView workbookViewId="0">
      <selection activeCell="G14" sqref="G14"/>
    </sheetView>
  </sheetViews>
  <sheetFormatPr baseColWidth="10" defaultRowHeight="16" x14ac:dyDescent="0.2"/>
  <cols>
    <col min="1" max="1" width="13" bestFit="1" customWidth="1"/>
  </cols>
  <sheetData>
    <row r="1" spans="1:7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">
      <c r="A2" t="s">
        <v>134</v>
      </c>
      <c r="B2">
        <v>0.61670000000000003</v>
      </c>
      <c r="C2">
        <v>0.64629999999999999</v>
      </c>
      <c r="D2">
        <v>0.65529999999999999</v>
      </c>
      <c r="E2">
        <v>0.65100000000000002</v>
      </c>
      <c r="F2">
        <v>0.64329999999999998</v>
      </c>
      <c r="G2">
        <v>0.62829999999999997</v>
      </c>
    </row>
    <row r="3" spans="1:7" x14ac:dyDescent="0.2">
      <c r="A3" t="s">
        <v>135</v>
      </c>
      <c r="B3">
        <v>0.27360000000000001</v>
      </c>
      <c r="C3">
        <v>0.23910000000000001</v>
      </c>
      <c r="D3">
        <v>0.23960000000000001</v>
      </c>
      <c r="E3">
        <v>0.23960000000000001</v>
      </c>
      <c r="F3">
        <v>0.2407</v>
      </c>
      <c r="G3">
        <v>0.25440000000000002</v>
      </c>
    </row>
    <row r="4" spans="1:7" x14ac:dyDescent="0.2">
      <c r="A4" t="s">
        <v>136</v>
      </c>
      <c r="B4">
        <v>3.85E-2</v>
      </c>
      <c r="C4">
        <v>3.3099999999999997E-2</v>
      </c>
      <c r="D4">
        <v>3.1099999999999999E-2</v>
      </c>
      <c r="E4">
        <v>3.1600000000000003E-2</v>
      </c>
      <c r="F4">
        <v>3.2199999999999999E-2</v>
      </c>
      <c r="G4">
        <v>3.1600000000000003E-2</v>
      </c>
    </row>
    <row r="5" spans="1:7" x14ac:dyDescent="0.2">
      <c r="A5" t="s">
        <v>137</v>
      </c>
      <c r="B5">
        <v>2.0000000000000001E-4</v>
      </c>
      <c r="C5">
        <v>2.9999999999999997E-4</v>
      </c>
      <c r="D5">
        <v>2.0000000000000001E-4</v>
      </c>
      <c r="E5">
        <v>2.0000000000000001E-4</v>
      </c>
      <c r="F5">
        <v>2.0000000000000001E-4</v>
      </c>
      <c r="G5">
        <v>2.0000000000000001E-4</v>
      </c>
    </row>
    <row r="6" spans="1:7" x14ac:dyDescent="0.2">
      <c r="A6" t="s">
        <v>138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140</v>
      </c>
      <c r="B8">
        <v>7.0999999999999994E-2</v>
      </c>
      <c r="C8">
        <v>8.1199999999999994E-2</v>
      </c>
      <c r="D8">
        <v>7.3800000000000004E-2</v>
      </c>
      <c r="E8">
        <v>7.7600000000000002E-2</v>
      </c>
      <c r="F8">
        <v>8.3500000000000005E-2</v>
      </c>
      <c r="G8">
        <v>8.5400000000000004E-2</v>
      </c>
    </row>
    <row r="9" spans="1:7" x14ac:dyDescent="0.2">
      <c r="A9" t="s">
        <v>18</v>
      </c>
      <c r="B9">
        <f>B2</f>
        <v>0.61670000000000003</v>
      </c>
      <c r="C9">
        <f t="shared" ref="C9:G9" si="0">C2</f>
        <v>0.64629999999999999</v>
      </c>
      <c r="D9">
        <f t="shared" si="0"/>
        <v>0.65529999999999999</v>
      </c>
      <c r="E9">
        <f t="shared" si="0"/>
        <v>0.65100000000000002</v>
      </c>
      <c r="F9">
        <f t="shared" si="0"/>
        <v>0.64329999999999998</v>
      </c>
      <c r="G9">
        <f t="shared" si="0"/>
        <v>0.62829999999999997</v>
      </c>
    </row>
    <row r="10" spans="1:7" x14ac:dyDescent="0.2">
      <c r="A10" t="s">
        <v>7</v>
      </c>
      <c r="B10">
        <f>B5+B8+B4</f>
        <v>0.10969999999999999</v>
      </c>
      <c r="C10">
        <f t="shared" ref="C10:G10" si="1">C5+C8+C4</f>
        <v>0.11459999999999998</v>
      </c>
      <c r="D10">
        <f t="shared" si="1"/>
        <v>0.10510000000000001</v>
      </c>
      <c r="E10">
        <f t="shared" si="1"/>
        <v>0.10940000000000001</v>
      </c>
      <c r="F10">
        <f t="shared" si="1"/>
        <v>0.1159</v>
      </c>
      <c r="G10">
        <f t="shared" si="1"/>
        <v>0.11720000000000001</v>
      </c>
    </row>
    <row r="11" spans="1:7" x14ac:dyDescent="0.2">
      <c r="A11" t="s">
        <v>8</v>
      </c>
      <c r="B11">
        <f>B10/B9</f>
        <v>0.17788227663369546</v>
      </c>
      <c r="C11">
        <f t="shared" ref="C11:G11" si="2">C10/C9</f>
        <v>0.17731703543246169</v>
      </c>
      <c r="D11">
        <f t="shared" si="2"/>
        <v>0.16038455669159166</v>
      </c>
      <c r="E11">
        <f t="shared" si="2"/>
        <v>0.16804915514592936</v>
      </c>
      <c r="F11">
        <f t="shared" si="2"/>
        <v>0.18016477537696254</v>
      </c>
      <c r="G11">
        <f t="shared" si="2"/>
        <v>0.18653509469998411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AECO</vt:lpstr>
      <vt:lpstr>AEP</vt:lpstr>
      <vt:lpstr>APS</vt:lpstr>
      <vt:lpstr>ATSI</vt:lpstr>
      <vt:lpstr>BGE</vt:lpstr>
      <vt:lpstr>COMED</vt:lpstr>
      <vt:lpstr>DAY</vt:lpstr>
      <vt:lpstr>DOEK</vt:lpstr>
      <vt:lpstr>DOM</vt:lpstr>
      <vt:lpstr>DPL</vt:lpstr>
      <vt:lpstr>DUQ</vt:lpstr>
      <vt:lpstr>JCPL</vt:lpstr>
      <vt:lpstr>METED</vt:lpstr>
      <vt:lpstr>PECO</vt:lpstr>
      <vt:lpstr>PENELEC</vt:lpstr>
      <vt:lpstr>PEPCO</vt:lpstr>
      <vt:lpstr>PPL</vt:lpstr>
      <vt:lpstr>PSEG</vt:lpstr>
      <vt:lpstr>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2025-10-08T20:22:25Z</dcterms:modified>
</cp:coreProperties>
</file>