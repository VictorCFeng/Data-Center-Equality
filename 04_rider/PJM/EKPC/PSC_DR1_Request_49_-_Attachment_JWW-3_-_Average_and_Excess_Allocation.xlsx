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ekpccoop.sharepoint.com/sites/RegulatoryServicesPricing/Shared Documents/Jacob/2025-00208 - Rate Case/DR1/Attachments/"/>
    </mc:Choice>
  </mc:AlternateContent>
  <xr:revisionPtr revIDLastSave="0" documentId="14_{360E3A89-5155-4ED2-9FEF-0637B62B1ADE}" xr6:coauthVersionLast="47" xr6:coauthVersionMax="47" xr10:uidLastSave="{00000000-0000-0000-0000-000000000000}"/>
  <bookViews>
    <workbookView xWindow="2550" yWindow="2550" windowWidth="38700" windowHeight="15285" xr2:uid="{21EDE153-3900-4A5D-A91C-2DD63DF905B7}"/>
  </bookViews>
  <sheets>
    <sheet name="Sheet1" sheetId="1" r:id="rId1"/>
  </sheets>
  <definedNames>
    <definedName name="_xlnm.Print_Area" localSheetId="0">Sheet1!$A$1:$H$21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C13" i="1"/>
  <c r="C16" i="1" l="1"/>
  <c r="C20" i="1" l="1"/>
  <c r="D14" i="1"/>
  <c r="D13" i="1"/>
  <c r="D12" i="1"/>
  <c r="D11" i="1"/>
  <c r="F10" i="1" l="1"/>
  <c r="F11" i="1"/>
  <c r="F12" i="1"/>
  <c r="D16" i="1"/>
  <c r="F15" i="1"/>
  <c r="F14" i="1"/>
  <c r="F13" i="1"/>
  <c r="E10" i="1" l="1"/>
  <c r="E14" i="1"/>
  <c r="E13" i="1"/>
  <c r="E11" i="1"/>
  <c r="E15" i="1"/>
  <c r="E12" i="1"/>
  <c r="F16" i="1"/>
  <c r="G11" i="1" l="1"/>
  <c r="G12" i="1"/>
  <c r="G13" i="1"/>
  <c r="G14" i="1"/>
  <c r="G15" i="1"/>
  <c r="G10" i="1"/>
  <c r="E16" i="1"/>
  <c r="G16" i="1" l="1"/>
</calcChain>
</file>

<file path=xl/sharedStrings.xml><?xml version="1.0" encoding="utf-8"?>
<sst xmlns="http://schemas.openxmlformats.org/spreadsheetml/2006/main" count="28" uniqueCount="21">
  <si>
    <t>Average and Excess Allocation</t>
  </si>
  <si>
    <t>Rate B</t>
  </si>
  <si>
    <t>Rate C</t>
  </si>
  <si>
    <t>Rate E</t>
  </si>
  <si>
    <t>Rate G</t>
  </si>
  <si>
    <t>Average</t>
  </si>
  <si>
    <t>Demand</t>
  </si>
  <si>
    <t>Allocation</t>
  </si>
  <si>
    <t>Factor</t>
  </si>
  <si>
    <t>Excess</t>
  </si>
  <si>
    <t>(NCP KW)</t>
  </si>
  <si>
    <t>(KW)</t>
  </si>
  <si>
    <t>NCP KW</t>
  </si>
  <si>
    <t>Less Avg. KW</t>
  </si>
  <si>
    <t>Max. CP</t>
  </si>
  <si>
    <t>kWh</t>
  </si>
  <si>
    <t>Load Factor</t>
  </si>
  <si>
    <t>Special Contract - Pumping Station</t>
  </si>
  <si>
    <t>Allocation %</t>
  </si>
  <si>
    <t>East Kentucky Power Cooperative</t>
  </si>
  <si>
    <t>Large Special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</si>
</sst>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00000"/>
    <numFmt numFmtId="166" formatCode="_(* #,##0.000000_);_(* \(#,##0.000000\);_(* &quot;-&quot;??_);_(@_)"/>
    <numFmt numFmtId="167" formatCode="0.0000%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164" fontId="0" fillId="0" borderId="0" xfId="1" applyNumberFormat="1" applyFont="1"/>
    <xf numFmtId="164" fontId="0" fillId="0" borderId="2" xfId="1" applyNumberFormat="1" applyFont="1" applyBorder="1"/>
    <xf numFmtId="164" fontId="0" fillId="0" borderId="0" xfId="0" applyNumberFormat="1"/>
    <xf numFmtId="165" fontId="0" fillId="0" borderId="0" xfId="0" applyNumberFormat="1"/>
    <xf numFmtId="165" fontId="0" fillId="0" borderId="2" xfId="0" applyNumberFormat="1" applyBorder="1"/>
    <xf numFmtId="166" fontId="0" fillId="0" borderId="0" xfId="0" applyNumberFormat="1"/>
    <xf numFmtId="167" fontId="0" fillId="0" borderId="0" xfId="2" applyNumberFormat="1" applyFont="1"/>
    <xf numFmtId="166" fontId="0" fillId="0" borderId="0" xfId="1" applyNumberFormat="1" applyFont="1"/>
    <xf numFmtId="166" fontId="0" fillId="0" borderId="2" xfId="1" applyNumberFormat="1" applyFont="1" applyBorder="1"/>
    <xf numFmtId="164" fontId="0" fillId="0" borderId="2" xfId="0" applyNumberFormat="1" applyBorder="1"/>
    <xf numFmtId="164" fontId="0" fillId="0" borderId="0" xfId="1" applyNumberFormat="1" applyFont="1" applyFill="1"/>
    <xf numFmtId="164" fontId="0" fillId="0" borderId="2" xfId="1" applyNumberFormat="1" applyFont="1" applyFill="1" applyBorder="1"/>
    <xf numFmtId="166" fontId="0" fillId="0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BBD1-4FD2-48FC-BFB6-37C71FD6CC87}">
  <dimension ref="A1:G22"/>
  <sheetViews>
    <sheetView tabSelected="1" view="pageBreakPreview" zoomScaleNormal="100" zoomScaleSheetLayoutView="100" workbookViewId="0">
      <selection activeCell="C25" sqref="C25"/>
    </sheetView>
  </sheetViews>
  <sheetFormatPr defaultRowHeight="14.25"/>
  <cols>
    <col min="1" max="1" width="25.625" customWidth="1"/>
    <col min="3" max="3" width="16" customWidth="1"/>
    <col min="4" max="6" width="15.25" customWidth="1"/>
    <col min="7" max="7" width="12.625" customWidth="1"/>
    <col min="8" max="8" width="13.125" customWidth="1"/>
  </cols>
  <sheetData>
    <row r="1" spans="1:7" ht="15">
      <c r="A1" s="1" t="s">
        <v>19</v>
      </c>
    </row>
    <row r="2" spans="1:7">
      <c r="A2" t="s">
        <v>0</v>
      </c>
    </row>
    <row r="6" spans="1:7" ht="15">
      <c r="C6" s="1" t="s">
        <v>6</v>
      </c>
      <c r="F6" s="1" t="s">
        <v>9</v>
      </c>
    </row>
    <row r="7" spans="1:7" ht="15">
      <c r="C7" s="1" t="s">
        <v>7</v>
      </c>
      <c r="D7" s="1" t="s">
        <v>5</v>
      </c>
      <c r="E7" s="1" t="s">
        <v>5</v>
      </c>
      <c r="F7" s="1" t="s">
        <v>6</v>
      </c>
      <c r="G7" s="1" t="s">
        <v>9</v>
      </c>
    </row>
    <row r="8" spans="1:7" ht="15">
      <c r="C8" s="1" t="s">
        <v>8</v>
      </c>
      <c r="D8" s="1" t="s">
        <v>6</v>
      </c>
      <c r="E8" s="1" t="s">
        <v>6</v>
      </c>
      <c r="F8" s="1" t="s">
        <v>12</v>
      </c>
      <c r="G8" s="1" t="s">
        <v>6</v>
      </c>
    </row>
    <row r="9" spans="1:7" ht="15.75" thickBot="1">
      <c r="A9" s="2"/>
      <c r="B9" s="2"/>
      <c r="C9" s="3" t="s">
        <v>10</v>
      </c>
      <c r="D9" s="3" t="s">
        <v>11</v>
      </c>
      <c r="E9" s="3" t="s">
        <v>18</v>
      </c>
      <c r="F9" s="3" t="s">
        <v>13</v>
      </c>
      <c r="G9" s="3" t="s">
        <v>18</v>
      </c>
    </row>
    <row r="10" spans="1:7">
      <c r="A10" t="s">
        <v>1</v>
      </c>
      <c r="C10" s="4">
        <v>177628.52739999999</v>
      </c>
      <c r="D10" s="4">
        <f>1070579024/8760</f>
        <v>122212.21735159817</v>
      </c>
      <c r="E10" s="11">
        <f>D10/$D$16</f>
        <v>8.3510491045306681E-2</v>
      </c>
      <c r="F10" s="6">
        <f>C10-D10</f>
        <v>55416.310048401821</v>
      </c>
      <c r="G10" s="7">
        <f>F10/$F$16</f>
        <v>4.1462887169383088E-2</v>
      </c>
    </row>
    <row r="11" spans="1:7">
      <c r="A11" t="s">
        <v>2</v>
      </c>
      <c r="C11" s="4">
        <v>63217.178699999997</v>
      </c>
      <c r="D11" s="4">
        <f>435095332/8760</f>
        <v>49668.41689497717</v>
      </c>
      <c r="E11" s="11">
        <f t="shared" ref="E11:E15" si="0">D11/$D$16</f>
        <v>3.3939600919026355E-2</v>
      </c>
      <c r="F11" s="6">
        <f t="shared" ref="F11:F15" si="1">C11-D11</f>
        <v>13548.761805022827</v>
      </c>
      <c r="G11" s="7">
        <f t="shared" ref="G11:G15" si="2">F11/$F$16</f>
        <v>1.0137282354524248E-2</v>
      </c>
    </row>
    <row r="12" spans="1:7">
      <c r="A12" t="s">
        <v>3</v>
      </c>
      <c r="C12" s="4">
        <v>2170713.25</v>
      </c>
      <c r="D12" s="4">
        <f>9278092002/8760</f>
        <v>1059142.9226027397</v>
      </c>
      <c r="E12" s="11">
        <f t="shared" si="0"/>
        <v>0.72373734369986364</v>
      </c>
      <c r="F12" s="6">
        <f t="shared" si="1"/>
        <v>1111570.3273972603</v>
      </c>
      <c r="G12" s="7">
        <f t="shared" si="2"/>
        <v>0.83168502243205567</v>
      </c>
    </row>
    <row r="13" spans="1:7">
      <c r="A13" t="s">
        <v>4</v>
      </c>
      <c r="C13" s="14">
        <f>388404.5548-C14</f>
        <v>90837.554799999984</v>
      </c>
      <c r="D13" s="14">
        <f>645813419/8760</f>
        <v>73722.993036529675</v>
      </c>
      <c r="E13" s="16">
        <f t="shared" si="0"/>
        <v>5.0376660232732517E-2</v>
      </c>
      <c r="F13" s="6">
        <f t="shared" si="1"/>
        <v>17114.561763470309</v>
      </c>
      <c r="G13" s="7">
        <f t="shared" si="2"/>
        <v>1.2805239878519708E-2</v>
      </c>
    </row>
    <row r="14" spans="1:7">
      <c r="A14" t="s">
        <v>20</v>
      </c>
      <c r="C14" s="14">
        <v>297567</v>
      </c>
      <c r="D14" s="4">
        <f>1390115217/8760</f>
        <v>158688.95171232877</v>
      </c>
      <c r="E14" s="11">
        <f t="shared" si="0"/>
        <v>0.10843590410307073</v>
      </c>
      <c r="F14" s="6">
        <f t="shared" si="1"/>
        <v>138878.04828767123</v>
      </c>
      <c r="G14" s="7">
        <f t="shared" si="2"/>
        <v>0.10390956816551726</v>
      </c>
    </row>
    <row r="15" spans="1:7">
      <c r="A15" t="s">
        <v>17</v>
      </c>
      <c r="C15" s="15">
        <v>0</v>
      </c>
      <c r="D15" s="5">
        <v>0</v>
      </c>
      <c r="E15" s="12">
        <f t="shared" si="0"/>
        <v>0</v>
      </c>
      <c r="F15" s="13">
        <f t="shared" si="1"/>
        <v>0</v>
      </c>
      <c r="G15" s="8">
        <f t="shared" si="2"/>
        <v>0</v>
      </c>
    </row>
    <row r="16" spans="1:7">
      <c r="C16" s="6">
        <f>SUM(C10:C15)</f>
        <v>2799963.5109000001</v>
      </c>
      <c r="D16" s="6">
        <f>SUM(D10:D15)</f>
        <v>1463435.5015981735</v>
      </c>
      <c r="E16" s="9">
        <f>SUM(E10:E15)</f>
        <v>0.99999999999999978</v>
      </c>
      <c r="F16" s="6">
        <f>SUM(F10:F15)</f>
        <v>1336528.0093018266</v>
      </c>
      <c r="G16" s="9">
        <f t="shared" ref="G16" si="3">SUM(G10:G15)</f>
        <v>0.99999999999999989</v>
      </c>
    </row>
    <row r="18" spans="1:4">
      <c r="A18" t="s">
        <v>14</v>
      </c>
      <c r="C18" s="4">
        <v>2707000</v>
      </c>
    </row>
    <row r="19" spans="1:4">
      <c r="A19" t="s">
        <v>15</v>
      </c>
      <c r="C19" s="4">
        <v>13097325794</v>
      </c>
    </row>
    <row r="20" spans="1:4">
      <c r="A20" t="s">
        <v>16</v>
      </c>
      <c r="C20" s="10">
        <f>ROUND(C19/(C18*8760),6)</f>
        <v>0.552319</v>
      </c>
    </row>
    <row r="22" spans="1:4">
      <c r="D22" s="6"/>
    </row>
  </sheetData>
  <phoneticPr fontId="3" type="noConversion"/>
  <pageMargins left="0.7" right="0.7" top="0.75" bottom="0.75" header="0.3" footer="0.3"/>
  <pageSetup orientation="landscape" r:id="rId1"/>
  <headerFooter>
    <oddFooter>&amp;R&amp;"Arial,Regular"&amp;10Exhibit JWW-3
Page 1 of 1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06fcea-541a-49e3-952a-5eaf56d381f3">
      <Terms xmlns="http://schemas.microsoft.com/office/infopath/2007/PartnerControls"/>
    </lcf76f155ced4ddcb4097134ff3c332f>
    <TaxCatchAll xmlns="daea435f-7073-4c60-9060-e78a3a9f8d50" xsi:nil="true"/>
    <Comment xmlns="ae06fcea-541a-49e3-952a-5eaf56d381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F1761B99A93040A03A8E42C6E42200" ma:contentTypeVersion="17" ma:contentTypeDescription="Create a new document." ma:contentTypeScope="" ma:versionID="980b554da23a07fc20832a1dd7bf2e0e">
  <xsd:schema xmlns:xsd="http://www.w3.org/2001/XMLSchema" xmlns:xs="http://www.w3.org/2001/XMLSchema" xmlns:p="http://schemas.microsoft.com/office/2006/metadata/properties" xmlns:ns2="ae06fcea-541a-49e3-952a-5eaf56d381f3" xmlns:ns3="daea435f-7073-4c60-9060-e78a3a9f8d50" targetNamespace="http://schemas.microsoft.com/office/2006/metadata/properties" ma:root="true" ma:fieldsID="8e4adc7ef244004100da516e020dff9c" ns2:_="" ns3:_="">
    <xsd:import namespace="ae06fcea-541a-49e3-952a-5eaf56d381f3"/>
    <xsd:import namespace="daea435f-7073-4c60-9060-e78a3a9f8d50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06fcea-541a-49e3-952a-5eaf56d381f3" elementFormDefault="qualified">
    <xsd:import namespace="http://schemas.microsoft.com/office/2006/documentManagement/types"/>
    <xsd:import namespace="http://schemas.microsoft.com/office/infopath/2007/PartnerControls"/>
    <xsd:element name="Comment" ma:index="3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f345f3-6a94-45cd-9be3-ab551ccca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a435f-7073-4c60-9060-e78a3a9f8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6" nillable="true" ma:displayName="Taxonomy Catch All Column" ma:hidden="true" ma:list="{fc3f6179-9671-476d-b47b-6bb1899845eb}" ma:internalName="TaxCatchAll" ma:readOnly="false" ma:showField="CatchAllData" ma:web="daea435f-7073-4c60-9060-e78a3a9f8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6DBAEE-7026-45B7-9976-EB12646CB0FE}">
  <ds:schemaRefs>
    <ds:schemaRef ds:uri="http://schemas.microsoft.com/office/2006/metadata/properties"/>
    <ds:schemaRef ds:uri="http://schemas.microsoft.com/office/infopath/2007/PartnerControls"/>
    <ds:schemaRef ds:uri="2b9e1b56-1bc3-4bb6-83f9-6df8fea7da23"/>
    <ds:schemaRef ds:uri="7e1690bc-552b-4878-9693-ea0d85c5988a"/>
    <ds:schemaRef ds:uri="ae06fcea-541a-49e3-952a-5eaf56d381f3"/>
    <ds:schemaRef ds:uri="daea435f-7073-4c60-9060-e78a3a9f8d50"/>
  </ds:schemaRefs>
</ds:datastoreItem>
</file>

<file path=customXml/itemProps2.xml><?xml version="1.0" encoding="utf-8"?>
<ds:datastoreItem xmlns:ds="http://schemas.openxmlformats.org/officeDocument/2006/customXml" ds:itemID="{0C7A65EB-355F-4A74-91B3-94350BFCE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06fcea-541a-49e3-952a-5eaf56d381f3"/>
    <ds:schemaRef ds:uri="daea435f-7073-4c60-9060-e78a3a9f8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64F266-44E0-4698-B65A-D77B71EAD3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Feltner</dc:creator>
  <cp:lastModifiedBy>Jacob Watson</cp:lastModifiedBy>
  <dcterms:created xsi:type="dcterms:W3CDTF">2025-01-14T14:20:49Z</dcterms:created>
  <dcterms:modified xsi:type="dcterms:W3CDTF">2025-08-21T19:40:32Z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0x0101002BF1761B99A93040A03A8E42C6E42200</vt:lpwstr>
  </property>
</Properties>
</file>