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Paper/202508_datacenter/rider/ERCOT/"/>
    </mc:Choice>
  </mc:AlternateContent>
  <xr:revisionPtr revIDLastSave="0" documentId="13_ncr:1_{9401643F-4712-9D42-B142-F8A97AA09E0B}" xr6:coauthVersionLast="47" xr6:coauthVersionMax="47" xr10:uidLastSave="{00000000-0000-0000-0000-000000000000}"/>
  <bookViews>
    <workbookView xWindow="-30240" yWindow="760" windowWidth="30240" windowHeight="18880" activeTab="1" xr2:uid="{08CDB012-30B4-7842-ADAB-7B261DF56280}"/>
  </bookViews>
  <sheets>
    <sheet name="Houston" sheetId="21" r:id="rId1"/>
    <sheet name="North" sheetId="22" r:id="rId2"/>
    <sheet name="South" sheetId="23" r:id="rId3"/>
    <sheet name="West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2" l="1"/>
  <c r="B17" i="21"/>
  <c r="G46" i="24" l="1"/>
  <c r="F46" i="24"/>
  <c r="E46" i="24"/>
  <c r="D46" i="24"/>
  <c r="C46" i="24"/>
  <c r="B46" i="24"/>
  <c r="G47" i="24"/>
  <c r="F47" i="24"/>
  <c r="E47" i="24"/>
  <c r="D47" i="24"/>
  <c r="C47" i="24"/>
  <c r="B47" i="24"/>
  <c r="C48" i="24"/>
  <c r="D48" i="24"/>
  <c r="E48" i="24"/>
  <c r="F48" i="24"/>
  <c r="G48" i="24"/>
  <c r="B48" i="24"/>
  <c r="D44" i="24"/>
  <c r="C44" i="24"/>
  <c r="B44" i="24"/>
  <c r="G43" i="24"/>
  <c r="G44" i="24" s="1"/>
  <c r="F43" i="24"/>
  <c r="F44" i="24" s="1"/>
  <c r="E43" i="24"/>
  <c r="E44" i="24" s="1"/>
  <c r="D43" i="24"/>
  <c r="C43" i="24"/>
  <c r="B43" i="24"/>
  <c r="G42" i="24"/>
  <c r="F42" i="24"/>
  <c r="E42" i="24"/>
  <c r="D42" i="24"/>
  <c r="C42" i="24"/>
  <c r="B42" i="24"/>
  <c r="C23" i="24"/>
  <c r="B23" i="24"/>
  <c r="G22" i="24"/>
  <c r="G23" i="24" s="1"/>
  <c r="F22" i="24"/>
  <c r="F23" i="24" s="1"/>
  <c r="E22" i="24"/>
  <c r="E23" i="24" s="1"/>
  <c r="D22" i="24"/>
  <c r="C22" i="24"/>
  <c r="B22" i="24"/>
  <c r="G21" i="24"/>
  <c r="F21" i="24"/>
  <c r="E21" i="24"/>
  <c r="D21" i="24"/>
  <c r="D23" i="24" s="1"/>
  <c r="C21" i="24"/>
  <c r="B21" i="24"/>
  <c r="D23" i="23"/>
  <c r="E23" i="23"/>
  <c r="F23" i="23"/>
  <c r="G23" i="23"/>
  <c r="B23" i="23"/>
  <c r="C22" i="23"/>
  <c r="C23" i="23" s="1"/>
  <c r="D22" i="23"/>
  <c r="E22" i="23"/>
  <c r="F22" i="23"/>
  <c r="G22" i="23"/>
  <c r="B22" i="23"/>
  <c r="C21" i="23"/>
  <c r="D21" i="23"/>
  <c r="E21" i="23"/>
  <c r="F21" i="23"/>
  <c r="G21" i="23"/>
  <c r="B21" i="23"/>
  <c r="C20" i="22"/>
  <c r="D20" i="22"/>
  <c r="E20" i="22"/>
  <c r="F20" i="22"/>
  <c r="G20" i="22"/>
  <c r="B20" i="22"/>
  <c r="C19" i="22"/>
  <c r="D19" i="22"/>
  <c r="E19" i="22"/>
  <c r="F19" i="22"/>
  <c r="G19" i="22"/>
  <c r="C21" i="22"/>
  <c r="G21" i="22"/>
  <c r="E21" i="22"/>
  <c r="D21" i="22"/>
  <c r="C19" i="21"/>
  <c r="D19" i="21"/>
  <c r="E19" i="21"/>
  <c r="F19" i="21"/>
  <c r="G19" i="21"/>
  <c r="B19" i="21"/>
  <c r="C18" i="21"/>
  <c r="D18" i="21"/>
  <c r="E18" i="21"/>
  <c r="F18" i="21"/>
  <c r="G18" i="21"/>
  <c r="B18" i="21"/>
  <c r="C17" i="21"/>
  <c r="D17" i="21"/>
  <c r="E17" i="21"/>
  <c r="F17" i="21"/>
  <c r="G17" i="21"/>
  <c r="B21" i="22" l="1"/>
  <c r="F21" i="22"/>
</calcChain>
</file>

<file path=xl/sharedStrings.xml><?xml version="1.0" encoding="utf-8"?>
<sst xmlns="http://schemas.openxmlformats.org/spreadsheetml/2006/main" count="91" uniqueCount="28">
  <si>
    <t>DC</t>
  </si>
  <si>
    <t>Ratio</t>
  </si>
  <si>
    <t>Residential</t>
  </si>
  <si>
    <t>RU</t>
  </si>
  <si>
    <t>xxxxx</t>
  </si>
  <si>
    <t>xxxxxx</t>
  </si>
  <si>
    <t>Residential Service</t>
  </si>
  <si>
    <t>Secondary Service &gt;10 kVA</t>
  </si>
  <si>
    <t>Primary Service</t>
  </si>
  <si>
    <t>Transmission Service</t>
  </si>
  <si>
    <t>Street Lighting Service</t>
  </si>
  <si>
    <t>Miscellaneous Lighting Service</t>
  </si>
  <si>
    <t>Secondary Service&lt;=10 kVA</t>
  </si>
  <si>
    <t>Secondary Service ≤ 10 kW</t>
  </si>
  <si>
    <t>Secondary Service &gt; 10 kW</t>
  </si>
  <si>
    <t>Primary Service ≤ 10 kW</t>
  </si>
  <si>
    <t>Primary Service &gt; 10 kW – Distribution Line</t>
  </si>
  <si>
    <t>Primary Service &gt; 10 kW – Substation</t>
  </si>
  <si>
    <t>Lighting Service</t>
  </si>
  <si>
    <t>xxxxxxx</t>
  </si>
  <si>
    <t>Secondary Less Than or Equal to 10 kV</t>
  </si>
  <si>
    <t>Secondary Greater Than 10 kV</t>
  </si>
  <si>
    <t>RU-1</t>
  </si>
  <si>
    <t>DC-1</t>
  </si>
  <si>
    <t>Ratio-1</t>
  </si>
  <si>
    <t>RU-2</t>
  </si>
  <si>
    <t>DC-2</t>
  </si>
  <si>
    <t>Ratio-2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</si>
</sst>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19"/>
  <sheetViews>
    <sheetView workbookViewId="0">
      <selection activeCell="B17" sqref="B17"/>
    </sheetView>
  </sheetViews>
  <sheetFormatPr baseColWidth="10" defaultRowHeight="16" x14ac:dyDescent="0.2"/>
  <cols>
    <col min="1" max="1" width="26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6</v>
      </c>
      <c r="B2">
        <v>0.47142600000000001</v>
      </c>
      <c r="C2">
        <v>0.47609600000000002</v>
      </c>
      <c r="D2">
        <v>0.47609600000000002</v>
      </c>
      <c r="E2">
        <v>0.47609600000000002</v>
      </c>
      <c r="F2">
        <v>0.47609600000000002</v>
      </c>
      <c r="G2">
        <v>0.47609600000000002</v>
      </c>
    </row>
    <row r="3" spans="1:7" x14ac:dyDescent="0.2">
      <c r="A3" t="s">
        <v>12</v>
      </c>
      <c r="B3">
        <v>1.1481E-2</v>
      </c>
      <c r="C3">
        <v>8.3490000000000005E-3</v>
      </c>
      <c r="D3">
        <v>8.3490000000000005E-3</v>
      </c>
      <c r="E3">
        <v>8.3490000000000005E-3</v>
      </c>
      <c r="F3">
        <v>8.3490000000000005E-3</v>
      </c>
      <c r="G3">
        <v>8.3490000000000005E-3</v>
      </c>
    </row>
    <row r="4" spans="1:7" x14ac:dyDescent="0.2">
      <c r="A4" t="s">
        <v>7</v>
      </c>
      <c r="B4">
        <v>0.358682</v>
      </c>
      <c r="C4">
        <v>0.346862</v>
      </c>
      <c r="D4">
        <v>0.346862</v>
      </c>
      <c r="E4">
        <v>0.346862</v>
      </c>
      <c r="F4">
        <v>0.346862</v>
      </c>
      <c r="G4">
        <v>0.346862</v>
      </c>
    </row>
    <row r="5" spans="1:7" x14ac:dyDescent="0.2">
      <c r="A5" t="s">
        <v>8</v>
      </c>
      <c r="B5">
        <v>3.6249000000000003E-2</v>
      </c>
      <c r="C5">
        <v>3.4095E-2</v>
      </c>
      <c r="D5">
        <v>3.4095E-2</v>
      </c>
      <c r="E5">
        <v>3.4095E-2</v>
      </c>
      <c r="F5">
        <v>3.4095E-2</v>
      </c>
      <c r="G5">
        <v>3.4095E-2</v>
      </c>
    </row>
    <row r="6" spans="1:7" x14ac:dyDescent="0.2">
      <c r="A6" t="s">
        <v>9</v>
      </c>
      <c r="B6">
        <v>0.12216200000000001</v>
      </c>
      <c r="C6">
        <v>0.13459699999999999</v>
      </c>
      <c r="D6">
        <v>0.13459699999999999</v>
      </c>
      <c r="E6">
        <v>0.13459699999999999</v>
      </c>
      <c r="F6">
        <v>0.13459699999999999</v>
      </c>
      <c r="G6">
        <v>0.13459699999999999</v>
      </c>
    </row>
    <row r="7" spans="1:7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5</v>
      </c>
    </row>
    <row r="10" spans="1:7" x14ac:dyDescent="0.2">
      <c r="A10" t="s">
        <v>6</v>
      </c>
      <c r="B10">
        <v>0.47609600000000002</v>
      </c>
      <c r="C10">
        <v>0.47609600000000002</v>
      </c>
      <c r="D10">
        <v>0.47609600000000002</v>
      </c>
      <c r="E10">
        <v>0.47609600000000002</v>
      </c>
      <c r="F10">
        <v>0.47609600000000002</v>
      </c>
      <c r="G10">
        <v>0.48923800000000001</v>
      </c>
    </row>
    <row r="11" spans="1:7" x14ac:dyDescent="0.2">
      <c r="A11" t="s">
        <v>12</v>
      </c>
      <c r="B11">
        <v>8.3490000000000005E-3</v>
      </c>
      <c r="C11">
        <v>8.3490000000000005E-3</v>
      </c>
      <c r="D11">
        <v>8.3490000000000005E-3</v>
      </c>
      <c r="E11">
        <v>8.3490000000000005E-3</v>
      </c>
      <c r="F11">
        <v>8.3490000000000005E-3</v>
      </c>
      <c r="G11">
        <v>6.4859999999999996E-3</v>
      </c>
    </row>
    <row r="12" spans="1:7" x14ac:dyDescent="0.2">
      <c r="A12" t="s">
        <v>7</v>
      </c>
      <c r="B12">
        <v>0.346862</v>
      </c>
      <c r="C12">
        <v>0.346862</v>
      </c>
      <c r="D12">
        <v>0.346862</v>
      </c>
      <c r="E12">
        <v>0.346862</v>
      </c>
      <c r="F12">
        <v>0.346862</v>
      </c>
      <c r="G12">
        <v>0.29027500000000001</v>
      </c>
    </row>
    <row r="13" spans="1:7" x14ac:dyDescent="0.2">
      <c r="A13" t="s">
        <v>8</v>
      </c>
      <c r="B13">
        <v>3.4095E-2</v>
      </c>
      <c r="C13">
        <v>3.4095E-2</v>
      </c>
      <c r="D13">
        <v>3.4095E-2</v>
      </c>
      <c r="E13">
        <v>3.4095E-2</v>
      </c>
      <c r="F13">
        <v>3.4095E-2</v>
      </c>
      <c r="G13">
        <v>3.0845999999999998E-2</v>
      </c>
    </row>
    <row r="14" spans="1:7" x14ac:dyDescent="0.2">
      <c r="A14" t="s">
        <v>9</v>
      </c>
      <c r="B14">
        <v>0.13459699999999999</v>
      </c>
      <c r="C14">
        <v>0.13459699999999999</v>
      </c>
      <c r="D14">
        <v>0.13459699999999999</v>
      </c>
      <c r="E14">
        <v>0.13459699999999999</v>
      </c>
      <c r="F14">
        <v>0.13459699999999999</v>
      </c>
      <c r="G14">
        <v>0.18315500000000001</v>
      </c>
    </row>
    <row r="15" spans="1:7" x14ac:dyDescent="0.2">
      <c r="A15" t="s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3</v>
      </c>
      <c r="B17">
        <f>(B10+B2)/2</f>
        <v>0.47376099999999999</v>
      </c>
      <c r="C17">
        <f t="shared" ref="C17:G17" si="0">(C10+C2)/2</f>
        <v>0.47609600000000002</v>
      </c>
      <c r="D17">
        <f t="shared" si="0"/>
        <v>0.47609600000000002</v>
      </c>
      <c r="E17">
        <f t="shared" si="0"/>
        <v>0.47609600000000002</v>
      </c>
      <c r="F17">
        <f t="shared" si="0"/>
        <v>0.47609600000000002</v>
      </c>
      <c r="G17">
        <f t="shared" si="0"/>
        <v>0.48266700000000001</v>
      </c>
    </row>
    <row r="18" spans="1:7" x14ac:dyDescent="0.2">
      <c r="A18" t="s">
        <v>0</v>
      </c>
      <c r="B18">
        <f>(B5+B6+B13+B14)/2</f>
        <v>0.16355150000000002</v>
      </c>
      <c r="C18">
        <f t="shared" ref="C18:G18" si="1">(C5+C6+C13+C14)/2</f>
        <v>0.16869200000000001</v>
      </c>
      <c r="D18">
        <f t="shared" si="1"/>
        <v>0.16869200000000001</v>
      </c>
      <c r="E18">
        <f t="shared" si="1"/>
        <v>0.16869200000000001</v>
      </c>
      <c r="F18">
        <f t="shared" si="1"/>
        <v>0.16869200000000001</v>
      </c>
      <c r="G18">
        <f t="shared" si="1"/>
        <v>0.1913465</v>
      </c>
    </row>
    <row r="19" spans="1:7" x14ac:dyDescent="0.2">
      <c r="A19" t="s">
        <v>1</v>
      </c>
      <c r="B19">
        <f>B18/B17</f>
        <v>0.34521942498432756</v>
      </c>
      <c r="C19">
        <f t="shared" ref="C19:G19" si="2">C18/C17</f>
        <v>0.35432349778195993</v>
      </c>
      <c r="D19">
        <f t="shared" si="2"/>
        <v>0.35432349778195993</v>
      </c>
      <c r="E19">
        <f t="shared" si="2"/>
        <v>0.35432349778195993</v>
      </c>
      <c r="F19">
        <f t="shared" si="2"/>
        <v>0.35432349778195993</v>
      </c>
      <c r="G19">
        <f t="shared" si="2"/>
        <v>0.39643584500286949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21"/>
  <sheetViews>
    <sheetView tabSelected="1" workbookViewId="0">
      <selection activeCell="E19" sqref="E19"/>
    </sheetView>
  </sheetViews>
  <sheetFormatPr baseColWidth="10" defaultRowHeight="16" x14ac:dyDescent="0.2"/>
  <cols>
    <col min="1" max="1" width="37" bestFit="1" customWidth="1"/>
  </cols>
  <sheetData>
    <row r="1" spans="1:7" x14ac:dyDescent="0.2">
      <c r="A1" s="1"/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6</v>
      </c>
      <c r="B2">
        <v>0.47002086650000002</v>
      </c>
      <c r="C2">
        <v>0.47002086650000002</v>
      </c>
      <c r="D2">
        <v>0.47002086650000002</v>
      </c>
      <c r="E2">
        <v>0.47002086650000002</v>
      </c>
      <c r="F2">
        <v>0.45880672249999999</v>
      </c>
      <c r="G2">
        <v>0.45880672249999999</v>
      </c>
    </row>
    <row r="3" spans="1:7" x14ac:dyDescent="0.2">
      <c r="A3" t="s">
        <v>13</v>
      </c>
      <c r="B3">
        <v>1.27036861E-2</v>
      </c>
      <c r="C3">
        <v>1.27036861E-2</v>
      </c>
      <c r="D3">
        <v>1.27036861E-2</v>
      </c>
      <c r="E3">
        <v>1.27036861E-2</v>
      </c>
      <c r="F3">
        <v>1.2824408299999999E-2</v>
      </c>
      <c r="G3">
        <v>1.2824408299999999E-2</v>
      </c>
    </row>
    <row r="4" spans="1:7" x14ac:dyDescent="0.2">
      <c r="A4" t="s">
        <v>14</v>
      </c>
      <c r="B4">
        <v>0.37570954220000002</v>
      </c>
      <c r="C4">
        <v>0.37570954220000002</v>
      </c>
      <c r="D4">
        <v>0.37570954220000002</v>
      </c>
      <c r="E4">
        <v>0.37570954220000002</v>
      </c>
      <c r="F4">
        <v>0.33353592659999998</v>
      </c>
      <c r="G4">
        <v>0.33353592659999998</v>
      </c>
    </row>
    <row r="5" spans="1:7" x14ac:dyDescent="0.2">
      <c r="A5" t="s">
        <v>15</v>
      </c>
      <c r="B5">
        <v>1.1516259999999999E-4</v>
      </c>
      <c r="C5">
        <v>1.1516259999999999E-4</v>
      </c>
      <c r="D5">
        <v>1.1516259999999999E-4</v>
      </c>
      <c r="E5">
        <v>1.1516259999999999E-4</v>
      </c>
      <c r="F5">
        <v>1.3264329999999999E-4</v>
      </c>
      <c r="G5">
        <v>1.3264329999999999E-4</v>
      </c>
    </row>
    <row r="6" spans="1:7" x14ac:dyDescent="0.2">
      <c r="A6" t="s">
        <v>16</v>
      </c>
      <c r="B6">
        <v>6.4652649500000006E-2</v>
      </c>
      <c r="C6">
        <v>6.4652649500000006E-2</v>
      </c>
      <c r="D6">
        <v>6.4652649500000006E-2</v>
      </c>
      <c r="E6">
        <v>6.4652649500000006E-2</v>
      </c>
      <c r="F6">
        <v>8.38539747E-2</v>
      </c>
      <c r="G6">
        <v>8.38539747E-2</v>
      </c>
    </row>
    <row r="7" spans="1:7" x14ac:dyDescent="0.2">
      <c r="A7" t="s">
        <v>17</v>
      </c>
      <c r="B7">
        <v>1.4872209799999999E-2</v>
      </c>
      <c r="C7">
        <v>1.4872209799999999E-2</v>
      </c>
      <c r="D7">
        <v>1.4872209799999999E-2</v>
      </c>
      <c r="E7">
        <v>1.4872209799999999E-2</v>
      </c>
      <c r="F7">
        <v>2.7463663700000002E-2</v>
      </c>
      <c r="G7">
        <v>2.7463663700000002E-2</v>
      </c>
    </row>
    <row r="8" spans="1:7" x14ac:dyDescent="0.2">
      <c r="A8" t="s">
        <v>9</v>
      </c>
      <c r="B8">
        <v>6.1925883299999998E-2</v>
      </c>
      <c r="C8">
        <v>6.1925883299999998E-2</v>
      </c>
      <c r="D8">
        <v>6.1925883299999998E-2</v>
      </c>
      <c r="E8">
        <v>6.1925883299999998E-2</v>
      </c>
      <c r="F8">
        <v>8.3382660900000002E-2</v>
      </c>
      <c r="G8">
        <v>8.3382660900000002E-2</v>
      </c>
    </row>
    <row r="9" spans="1:7" x14ac:dyDescent="0.2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4</v>
      </c>
    </row>
    <row r="11" spans="1:7" x14ac:dyDescent="0.2">
      <c r="A11" t="s">
        <v>6</v>
      </c>
      <c r="B11">
        <v>0.47002086650000002</v>
      </c>
      <c r="C11">
        <v>0.47002086650000002</v>
      </c>
      <c r="D11">
        <v>0.47002086650000002</v>
      </c>
      <c r="E11">
        <v>0.45880672249999999</v>
      </c>
      <c r="F11">
        <v>0.45880672249999999</v>
      </c>
      <c r="G11">
        <v>0.45880672249999999</v>
      </c>
    </row>
    <row r="12" spans="1:7" x14ac:dyDescent="0.2">
      <c r="A12" t="s">
        <v>13</v>
      </c>
      <c r="B12">
        <v>1.27036861E-2</v>
      </c>
      <c r="C12">
        <v>1.27036861E-2</v>
      </c>
      <c r="D12">
        <v>1.27036861E-2</v>
      </c>
      <c r="E12">
        <v>1.2824408299999999E-2</v>
      </c>
      <c r="F12">
        <v>1.2824408299999999E-2</v>
      </c>
      <c r="G12">
        <v>1.2824408299999999E-2</v>
      </c>
    </row>
    <row r="13" spans="1:7" x14ac:dyDescent="0.2">
      <c r="A13" t="s">
        <v>14</v>
      </c>
      <c r="B13">
        <v>0.37570954220000002</v>
      </c>
      <c r="C13">
        <v>0.37570954220000002</v>
      </c>
      <c r="D13">
        <v>0.37570954220000002</v>
      </c>
      <c r="E13">
        <v>0.33353592659999998</v>
      </c>
      <c r="F13">
        <v>0.33353592659999998</v>
      </c>
      <c r="G13">
        <v>0.33353592659999998</v>
      </c>
    </row>
    <row r="14" spans="1:7" x14ac:dyDescent="0.2">
      <c r="A14" t="s">
        <v>15</v>
      </c>
      <c r="B14">
        <v>1.1516259999999999E-4</v>
      </c>
      <c r="C14">
        <v>1.1516259999999999E-4</v>
      </c>
      <c r="D14">
        <v>1.1516259999999999E-4</v>
      </c>
      <c r="E14">
        <v>1.3264329999999999E-4</v>
      </c>
      <c r="F14">
        <v>1.3264329999999999E-4</v>
      </c>
      <c r="G14">
        <v>1.3264329999999999E-4</v>
      </c>
    </row>
    <row r="15" spans="1:7" x14ac:dyDescent="0.2">
      <c r="A15" t="s">
        <v>16</v>
      </c>
      <c r="B15">
        <v>6.4652649500000006E-2</v>
      </c>
      <c r="C15">
        <v>6.4652649500000006E-2</v>
      </c>
      <c r="D15">
        <v>6.4652649500000006E-2</v>
      </c>
      <c r="E15">
        <v>8.38539747E-2</v>
      </c>
      <c r="F15">
        <v>8.38539747E-2</v>
      </c>
      <c r="G15">
        <v>8.38539747E-2</v>
      </c>
    </row>
    <row r="16" spans="1:7" x14ac:dyDescent="0.2">
      <c r="A16" t="s">
        <v>17</v>
      </c>
      <c r="B16">
        <v>1.4872209799999999E-2</v>
      </c>
      <c r="C16">
        <v>1.4872209799999999E-2</v>
      </c>
      <c r="D16">
        <v>1.4872209799999999E-2</v>
      </c>
      <c r="E16">
        <v>2.7463663700000002E-2</v>
      </c>
      <c r="F16">
        <v>2.7463663700000002E-2</v>
      </c>
      <c r="G16">
        <v>2.7463663700000002E-2</v>
      </c>
    </row>
    <row r="17" spans="1:7" x14ac:dyDescent="0.2">
      <c r="A17" t="s">
        <v>9</v>
      </c>
      <c r="B17">
        <v>6.1925883299999998E-2</v>
      </c>
      <c r="C17">
        <v>6.1925883299999998E-2</v>
      </c>
      <c r="D17">
        <v>6.1925883299999998E-2</v>
      </c>
      <c r="E17">
        <v>8.3382660900000002E-2</v>
      </c>
      <c r="F17">
        <v>8.3382660900000002E-2</v>
      </c>
      <c r="G17">
        <v>8.3382660900000002E-2</v>
      </c>
    </row>
    <row r="18" spans="1:7" x14ac:dyDescent="0.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3</v>
      </c>
      <c r="B19">
        <f>(B2+B11)/2</f>
        <v>0.47002086650000002</v>
      </c>
      <c r="C19">
        <f t="shared" ref="C19:G19" si="0">(C2+C11)/2</f>
        <v>0.47002086650000002</v>
      </c>
      <c r="D19">
        <f t="shared" si="0"/>
        <v>0.47002086650000002</v>
      </c>
      <c r="E19">
        <f t="shared" si="0"/>
        <v>0.46441379449999998</v>
      </c>
      <c r="F19">
        <f t="shared" si="0"/>
        <v>0.45880672249999999</v>
      </c>
      <c r="G19">
        <f t="shared" si="0"/>
        <v>0.45880672249999999</v>
      </c>
    </row>
    <row r="20" spans="1:7" x14ac:dyDescent="0.2">
      <c r="A20" t="s">
        <v>0</v>
      </c>
      <c r="B20">
        <f>(B7+B8+B6+B5+B14+B15+B16+B17)/2</f>
        <v>0.14156590520000001</v>
      </c>
      <c r="C20">
        <f t="shared" ref="C20:G20" si="1">(C7+C8+C6+C5+C14+C15+C16+C17)/2</f>
        <v>0.14156590520000001</v>
      </c>
      <c r="D20">
        <f t="shared" si="1"/>
        <v>0.14156590520000001</v>
      </c>
      <c r="E20">
        <f t="shared" si="1"/>
        <v>0.16819942390000003</v>
      </c>
      <c r="F20">
        <f t="shared" si="1"/>
        <v>0.1948329426</v>
      </c>
      <c r="G20">
        <f t="shared" si="1"/>
        <v>0.1948329426</v>
      </c>
    </row>
    <row r="21" spans="1:7" x14ac:dyDescent="0.2">
      <c r="A21" t="s">
        <v>1</v>
      </c>
      <c r="B21">
        <f>B20/B19</f>
        <v>0.30119068171200014</v>
      </c>
      <c r="C21">
        <f t="shared" ref="C21:G21" si="2">C20/C19</f>
        <v>0.30119068171200014</v>
      </c>
      <c r="D21">
        <f t="shared" si="2"/>
        <v>0.30119068171200014</v>
      </c>
      <c r="E21">
        <f t="shared" si="2"/>
        <v>0.36217577059933787</v>
      </c>
      <c r="F21">
        <f t="shared" si="2"/>
        <v>0.42465145571183299</v>
      </c>
      <c r="G21">
        <f t="shared" si="2"/>
        <v>0.42465145571183299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G23"/>
  <sheetViews>
    <sheetView workbookViewId="0">
      <selection activeCell="B23" sqref="B23"/>
    </sheetView>
  </sheetViews>
  <sheetFormatPr baseColWidth="10" defaultRowHeight="16" x14ac:dyDescent="0.2"/>
  <cols>
    <col min="1" max="1" width="34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2</v>
      </c>
      <c r="B2">
        <v>0.47210000000000002</v>
      </c>
      <c r="C2">
        <v>0.47309000000000001</v>
      </c>
      <c r="D2">
        <v>0.47309000000000001</v>
      </c>
      <c r="E2">
        <v>0.47309000000000001</v>
      </c>
      <c r="F2">
        <v>0.48203000000000001</v>
      </c>
      <c r="G2">
        <v>0.48476999999999998</v>
      </c>
    </row>
    <row r="3" spans="1:7" x14ac:dyDescent="0.2">
      <c r="A3" t="s">
        <v>20</v>
      </c>
      <c r="B3">
        <v>1.704E-2</v>
      </c>
      <c r="C3">
        <v>1.704E-2</v>
      </c>
      <c r="D3">
        <v>1.704E-2</v>
      </c>
      <c r="E3">
        <v>1.704E-2</v>
      </c>
      <c r="F3">
        <v>2.1479999999999999E-2</v>
      </c>
      <c r="G3">
        <v>1.917E-2</v>
      </c>
    </row>
    <row r="4" spans="1:7" x14ac:dyDescent="0.2">
      <c r="A4" t="s">
        <v>21</v>
      </c>
      <c r="B4">
        <v>2.0199999999999999E-2</v>
      </c>
      <c r="C4">
        <v>3.1519999999999999E-2</v>
      </c>
      <c r="D4">
        <v>3.1519999999999999E-2</v>
      </c>
      <c r="E4">
        <v>3.1519999999999999E-2</v>
      </c>
      <c r="F4">
        <v>3.0769999999999999E-2</v>
      </c>
      <c r="G4">
        <v>2.8719999999999999E-2</v>
      </c>
    </row>
    <row r="5" spans="1:7" x14ac:dyDescent="0.2">
      <c r="B5">
        <v>0.29220000000000002</v>
      </c>
      <c r="C5">
        <v>0.28071000000000002</v>
      </c>
      <c r="D5">
        <v>0.28071000000000002</v>
      </c>
      <c r="E5">
        <v>0.28071000000000002</v>
      </c>
      <c r="F5">
        <v>0.25768000000000002</v>
      </c>
      <c r="G5">
        <v>0.25679000000000002</v>
      </c>
    </row>
    <row r="6" spans="1:7" x14ac:dyDescent="0.2">
      <c r="A6" t="s">
        <v>8</v>
      </c>
      <c r="B6">
        <v>9.7699999999999995E-2</v>
      </c>
      <c r="C6">
        <v>9.8030000000000006E-2</v>
      </c>
      <c r="D6">
        <v>9.8030000000000006E-2</v>
      </c>
      <c r="E6">
        <v>9.8030000000000006E-2</v>
      </c>
      <c r="F6">
        <v>8.7489999999999998E-2</v>
      </c>
      <c r="G6">
        <v>6.3329999999999997E-2</v>
      </c>
    </row>
    <row r="7" spans="1:7" x14ac:dyDescent="0.2">
      <c r="B7">
        <v>1.0500000000000001E-2</v>
      </c>
      <c r="C7">
        <v>6.5399999999999998E-3</v>
      </c>
      <c r="D7">
        <v>6.5399999999999998E-3</v>
      </c>
      <c r="E7">
        <v>6.5399999999999998E-3</v>
      </c>
      <c r="F7">
        <v>5.8100000000000001E-3</v>
      </c>
      <c r="G7">
        <v>5.1799999999999997E-3</v>
      </c>
    </row>
    <row r="8" spans="1:7" x14ac:dyDescent="0.2">
      <c r="G8">
        <v>1.225E-2</v>
      </c>
    </row>
    <row r="9" spans="1:7" x14ac:dyDescent="0.2">
      <c r="G9">
        <v>1.2999999999999999E-4</v>
      </c>
    </row>
    <row r="10" spans="1:7" x14ac:dyDescent="0.2">
      <c r="A10" t="s">
        <v>9</v>
      </c>
      <c r="B10">
        <v>9.01E-2</v>
      </c>
      <c r="C10">
        <v>9.307E-2</v>
      </c>
      <c r="D10">
        <v>9.307E-2</v>
      </c>
      <c r="E10">
        <v>9.307E-2</v>
      </c>
      <c r="F10">
        <v>0.11475</v>
      </c>
      <c r="G10">
        <v>0.12966</v>
      </c>
    </row>
    <row r="11" spans="1:7" x14ac:dyDescent="0.2">
      <c r="A11" t="s">
        <v>19</v>
      </c>
    </row>
    <row r="12" spans="1:7" x14ac:dyDescent="0.2">
      <c r="A12" t="s">
        <v>2</v>
      </c>
      <c r="B12">
        <v>0.47210000000000002</v>
      </c>
      <c r="C12">
        <v>0.47309000000000001</v>
      </c>
      <c r="D12">
        <v>0.47309000000000001</v>
      </c>
      <c r="E12">
        <v>0.48203000000000001</v>
      </c>
      <c r="F12">
        <v>0.48203000000000001</v>
      </c>
      <c r="G12">
        <v>0.48476999999999998</v>
      </c>
    </row>
    <row r="13" spans="1:7" x14ac:dyDescent="0.2">
      <c r="A13" t="s">
        <v>20</v>
      </c>
      <c r="B13">
        <v>1.704E-2</v>
      </c>
      <c r="C13">
        <v>1.704E-2</v>
      </c>
      <c r="D13">
        <v>1.704E-2</v>
      </c>
      <c r="E13">
        <v>2.1479999999999999E-2</v>
      </c>
      <c r="F13">
        <v>2.1479999999999999E-2</v>
      </c>
      <c r="G13">
        <v>1.917E-2</v>
      </c>
    </row>
    <row r="14" spans="1:7" x14ac:dyDescent="0.2">
      <c r="A14" t="s">
        <v>21</v>
      </c>
      <c r="B14">
        <v>2.0199999999999999E-2</v>
      </c>
      <c r="C14">
        <v>3.1519999999999999E-2</v>
      </c>
      <c r="D14">
        <v>3.1519999999999999E-2</v>
      </c>
      <c r="E14">
        <v>3.0769999999999999E-2</v>
      </c>
      <c r="F14">
        <v>3.0769999999999999E-2</v>
      </c>
      <c r="G14">
        <v>2.8719999999999999E-2</v>
      </c>
    </row>
    <row r="15" spans="1:7" x14ac:dyDescent="0.2">
      <c r="B15">
        <v>0.29220000000000002</v>
      </c>
      <c r="C15">
        <v>0.28071000000000002</v>
      </c>
      <c r="D15">
        <v>0.28071000000000002</v>
      </c>
      <c r="E15">
        <v>0.25768000000000002</v>
      </c>
      <c r="F15">
        <v>0.25768000000000002</v>
      </c>
      <c r="G15">
        <v>0.25679000000000002</v>
      </c>
    </row>
    <row r="16" spans="1:7" x14ac:dyDescent="0.2">
      <c r="A16" t="s">
        <v>8</v>
      </c>
      <c r="B16">
        <v>9.7699999999999995E-2</v>
      </c>
      <c r="C16">
        <v>9.8030000000000006E-2</v>
      </c>
      <c r="D16">
        <v>9.8030000000000006E-2</v>
      </c>
      <c r="E16">
        <v>8.7489999999999998E-2</v>
      </c>
      <c r="F16">
        <v>8.7489999999999998E-2</v>
      </c>
      <c r="G16">
        <v>6.3329999999999997E-2</v>
      </c>
    </row>
    <row r="17" spans="1:7" x14ac:dyDescent="0.2">
      <c r="B17">
        <v>1.0500000000000001E-2</v>
      </c>
      <c r="C17">
        <v>6.5399999999999998E-3</v>
      </c>
      <c r="D17">
        <v>6.5399999999999998E-3</v>
      </c>
      <c r="E17">
        <v>5.8100000000000001E-3</v>
      </c>
      <c r="F17">
        <v>5.8100000000000001E-3</v>
      </c>
      <c r="G17">
        <v>5.1799999999999997E-3</v>
      </c>
    </row>
    <row r="18" spans="1:7" x14ac:dyDescent="0.2">
      <c r="G18">
        <v>1.225E-2</v>
      </c>
    </row>
    <row r="19" spans="1:7" x14ac:dyDescent="0.2">
      <c r="G19">
        <v>1.2999999999999999E-4</v>
      </c>
    </row>
    <row r="20" spans="1:7" x14ac:dyDescent="0.2">
      <c r="A20" t="s">
        <v>9</v>
      </c>
      <c r="B20">
        <v>9.01E-2</v>
      </c>
      <c r="C20">
        <v>9.307E-2</v>
      </c>
      <c r="D20">
        <v>9.307E-2</v>
      </c>
      <c r="E20">
        <v>0.11475</v>
      </c>
      <c r="F20">
        <v>0.11475</v>
      </c>
      <c r="G20">
        <v>0.12966</v>
      </c>
    </row>
    <row r="21" spans="1:7" x14ac:dyDescent="0.2">
      <c r="A21" t="s">
        <v>3</v>
      </c>
      <c r="B21">
        <f>(B2+B12)/2</f>
        <v>0.47210000000000002</v>
      </c>
      <c r="C21">
        <f t="shared" ref="C21:G21" si="0">(C2+C12)/2</f>
        <v>0.47309000000000001</v>
      </c>
      <c r="D21">
        <f t="shared" si="0"/>
        <v>0.47309000000000001</v>
      </c>
      <c r="E21">
        <f t="shared" si="0"/>
        <v>0.47755999999999998</v>
      </c>
      <c r="F21">
        <f t="shared" si="0"/>
        <v>0.48203000000000001</v>
      </c>
      <c r="G21">
        <f t="shared" si="0"/>
        <v>0.48476999999999998</v>
      </c>
    </row>
    <row r="22" spans="1:7" x14ac:dyDescent="0.2">
      <c r="A22" t="s">
        <v>0</v>
      </c>
      <c r="B22">
        <f>(SUM(B6:B10)+SUM(B16:B20))/2</f>
        <v>0.19829999999999998</v>
      </c>
      <c r="C22">
        <f t="shared" ref="C22:G22" si="1">(SUM(C6:C10)+SUM(C16:C20))/2</f>
        <v>0.19764000000000001</v>
      </c>
      <c r="D22">
        <f t="shared" si="1"/>
        <v>0.19764000000000001</v>
      </c>
      <c r="E22">
        <f t="shared" si="1"/>
        <v>0.202845</v>
      </c>
      <c r="F22">
        <f t="shared" si="1"/>
        <v>0.20805000000000001</v>
      </c>
      <c r="G22">
        <f t="shared" si="1"/>
        <v>0.21055000000000001</v>
      </c>
    </row>
    <row r="23" spans="1:7" x14ac:dyDescent="0.2">
      <c r="A23" t="s">
        <v>1</v>
      </c>
      <c r="B23">
        <f>B22/B21</f>
        <v>0.42003812751535685</v>
      </c>
      <c r="C23">
        <f t="shared" ref="C23:G23" si="2">C22/C21</f>
        <v>0.41776406180642162</v>
      </c>
      <c r="D23">
        <f t="shared" si="2"/>
        <v>0.41776406180642162</v>
      </c>
      <c r="E23">
        <f t="shared" si="2"/>
        <v>0.42475291062903092</v>
      </c>
      <c r="F23">
        <f t="shared" si="2"/>
        <v>0.43161214032321643</v>
      </c>
      <c r="G23">
        <f t="shared" si="2"/>
        <v>0.43432968211729278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9594-57B5-BE43-93B7-C498BAFFAF89}">
  <dimension ref="A1:G48"/>
  <sheetViews>
    <sheetView workbookViewId="0">
      <selection activeCell="J23" sqref="J23"/>
    </sheetView>
  </sheetViews>
  <sheetFormatPr baseColWidth="10" defaultRowHeight="16" x14ac:dyDescent="0.2"/>
  <cols>
    <col min="1" max="1" width="37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2</v>
      </c>
      <c r="B2">
        <v>0.47210000000000002</v>
      </c>
      <c r="C2">
        <v>0.47309000000000001</v>
      </c>
      <c r="D2">
        <v>0.47309000000000001</v>
      </c>
      <c r="E2">
        <v>0.47309000000000001</v>
      </c>
      <c r="F2">
        <v>0.48203000000000001</v>
      </c>
      <c r="G2">
        <v>0.48476999999999998</v>
      </c>
    </row>
    <row r="3" spans="1:7" x14ac:dyDescent="0.2">
      <c r="A3" t="s">
        <v>20</v>
      </c>
      <c r="B3">
        <v>1.704E-2</v>
      </c>
      <c r="C3">
        <v>1.704E-2</v>
      </c>
      <c r="D3">
        <v>1.704E-2</v>
      </c>
      <c r="E3">
        <v>1.704E-2</v>
      </c>
      <c r="F3">
        <v>2.1479999999999999E-2</v>
      </c>
      <c r="G3">
        <v>1.917E-2</v>
      </c>
    </row>
    <row r="4" spans="1:7" x14ac:dyDescent="0.2">
      <c r="A4" t="s">
        <v>21</v>
      </c>
      <c r="B4">
        <v>2.0199999999999999E-2</v>
      </c>
      <c r="C4">
        <v>3.1519999999999999E-2</v>
      </c>
      <c r="D4">
        <v>3.1519999999999999E-2</v>
      </c>
      <c r="E4">
        <v>3.1519999999999999E-2</v>
      </c>
      <c r="F4">
        <v>3.0769999999999999E-2</v>
      </c>
      <c r="G4">
        <v>2.8719999999999999E-2</v>
      </c>
    </row>
    <row r="5" spans="1:7" x14ac:dyDescent="0.2">
      <c r="B5">
        <v>0.29220000000000002</v>
      </c>
      <c r="C5">
        <v>0.28071000000000002</v>
      </c>
      <c r="D5">
        <v>0.28071000000000002</v>
      </c>
      <c r="E5">
        <v>0.28071000000000002</v>
      </c>
      <c r="F5">
        <v>0.25768000000000002</v>
      </c>
      <c r="G5">
        <v>0.25679000000000002</v>
      </c>
    </row>
    <row r="6" spans="1:7" x14ac:dyDescent="0.2">
      <c r="A6" t="s">
        <v>8</v>
      </c>
      <c r="B6">
        <v>9.7699999999999995E-2</v>
      </c>
      <c r="C6">
        <v>9.8030000000000006E-2</v>
      </c>
      <c r="D6">
        <v>9.8030000000000006E-2</v>
      </c>
      <c r="E6">
        <v>9.8030000000000006E-2</v>
      </c>
      <c r="F6">
        <v>8.7489999999999998E-2</v>
      </c>
      <c r="G6">
        <v>6.3329999999999997E-2</v>
      </c>
    </row>
    <row r="7" spans="1:7" x14ac:dyDescent="0.2">
      <c r="B7">
        <v>1.0500000000000001E-2</v>
      </c>
      <c r="C7">
        <v>6.5399999999999998E-3</v>
      </c>
      <c r="D7">
        <v>6.5399999999999998E-3</v>
      </c>
      <c r="E7">
        <v>6.5399999999999998E-3</v>
      </c>
      <c r="F7">
        <v>5.8100000000000001E-3</v>
      </c>
      <c r="G7">
        <v>5.1799999999999997E-3</v>
      </c>
    </row>
    <row r="8" spans="1:7" x14ac:dyDescent="0.2">
      <c r="G8">
        <v>1.225E-2</v>
      </c>
    </row>
    <row r="9" spans="1:7" x14ac:dyDescent="0.2">
      <c r="G9">
        <v>1.2999999999999999E-4</v>
      </c>
    </row>
    <row r="10" spans="1:7" x14ac:dyDescent="0.2">
      <c r="A10" t="s">
        <v>9</v>
      </c>
      <c r="B10">
        <v>9.01E-2</v>
      </c>
      <c r="C10">
        <v>9.307E-2</v>
      </c>
      <c r="D10">
        <v>9.307E-2</v>
      </c>
      <c r="E10">
        <v>9.307E-2</v>
      </c>
      <c r="F10">
        <v>0.11475</v>
      </c>
      <c r="G10">
        <v>0.12966</v>
      </c>
    </row>
    <row r="11" spans="1:7" x14ac:dyDescent="0.2">
      <c r="A11" t="s">
        <v>19</v>
      </c>
    </row>
    <row r="12" spans="1:7" x14ac:dyDescent="0.2">
      <c r="A12" t="s">
        <v>2</v>
      </c>
      <c r="B12">
        <v>0.47210000000000002</v>
      </c>
      <c r="C12">
        <v>0.47309000000000001</v>
      </c>
      <c r="D12">
        <v>0.47309000000000001</v>
      </c>
      <c r="E12">
        <v>0.48203000000000001</v>
      </c>
      <c r="F12">
        <v>0.48203000000000001</v>
      </c>
      <c r="G12">
        <v>0.48476999999999998</v>
      </c>
    </row>
    <row r="13" spans="1:7" x14ac:dyDescent="0.2">
      <c r="A13" t="s">
        <v>20</v>
      </c>
      <c r="B13">
        <v>1.704E-2</v>
      </c>
      <c r="C13">
        <v>1.704E-2</v>
      </c>
      <c r="D13">
        <v>1.704E-2</v>
      </c>
      <c r="E13">
        <v>2.1479999999999999E-2</v>
      </c>
      <c r="F13">
        <v>2.1479999999999999E-2</v>
      </c>
      <c r="G13">
        <v>1.917E-2</v>
      </c>
    </row>
    <row r="14" spans="1:7" x14ac:dyDescent="0.2">
      <c r="A14" t="s">
        <v>21</v>
      </c>
      <c r="B14">
        <v>2.0199999999999999E-2</v>
      </c>
      <c r="C14">
        <v>3.1519999999999999E-2</v>
      </c>
      <c r="D14">
        <v>3.1519999999999999E-2</v>
      </c>
      <c r="E14">
        <v>3.0769999999999999E-2</v>
      </c>
      <c r="F14">
        <v>3.0769999999999999E-2</v>
      </c>
      <c r="G14">
        <v>2.8719999999999999E-2</v>
      </c>
    </row>
    <row r="15" spans="1:7" x14ac:dyDescent="0.2">
      <c r="B15">
        <v>0.29220000000000002</v>
      </c>
      <c r="C15">
        <v>0.28071000000000002</v>
      </c>
      <c r="D15">
        <v>0.28071000000000002</v>
      </c>
      <c r="E15">
        <v>0.25768000000000002</v>
      </c>
      <c r="F15">
        <v>0.25768000000000002</v>
      </c>
      <c r="G15">
        <v>0.25679000000000002</v>
      </c>
    </row>
    <row r="16" spans="1:7" x14ac:dyDescent="0.2">
      <c r="A16" t="s">
        <v>8</v>
      </c>
      <c r="B16">
        <v>9.7699999999999995E-2</v>
      </c>
      <c r="C16">
        <v>9.8030000000000006E-2</v>
      </c>
      <c r="D16">
        <v>9.8030000000000006E-2</v>
      </c>
      <c r="E16">
        <v>8.7489999999999998E-2</v>
      </c>
      <c r="F16">
        <v>8.7489999999999998E-2</v>
      </c>
      <c r="G16">
        <v>6.3329999999999997E-2</v>
      </c>
    </row>
    <row r="17" spans="1:7" x14ac:dyDescent="0.2">
      <c r="B17">
        <v>1.0500000000000001E-2</v>
      </c>
      <c r="C17">
        <v>6.5399999999999998E-3</v>
      </c>
      <c r="D17">
        <v>6.5399999999999998E-3</v>
      </c>
      <c r="E17">
        <v>5.8100000000000001E-3</v>
      </c>
      <c r="F17">
        <v>5.8100000000000001E-3</v>
      </c>
      <c r="G17">
        <v>5.1799999999999997E-3</v>
      </c>
    </row>
    <row r="18" spans="1:7" x14ac:dyDescent="0.2">
      <c r="G18">
        <v>1.225E-2</v>
      </c>
    </row>
    <row r="19" spans="1:7" x14ac:dyDescent="0.2">
      <c r="G19">
        <v>1.2999999999999999E-4</v>
      </c>
    </row>
    <row r="20" spans="1:7" x14ac:dyDescent="0.2">
      <c r="A20" t="s">
        <v>9</v>
      </c>
      <c r="B20">
        <v>9.01E-2</v>
      </c>
      <c r="C20">
        <v>9.307E-2</v>
      </c>
      <c r="D20">
        <v>9.307E-2</v>
      </c>
      <c r="E20">
        <v>0.11475</v>
      </c>
      <c r="F20">
        <v>0.11475</v>
      </c>
      <c r="G20">
        <v>0.12966</v>
      </c>
    </row>
    <row r="21" spans="1:7" x14ac:dyDescent="0.2">
      <c r="A21" t="s">
        <v>22</v>
      </c>
      <c r="B21">
        <f>(B2+B12)/2</f>
        <v>0.47210000000000002</v>
      </c>
      <c r="C21">
        <f t="shared" ref="C21:G21" si="0">(C2+C12)/2</f>
        <v>0.47309000000000001</v>
      </c>
      <c r="D21">
        <f t="shared" si="0"/>
        <v>0.47309000000000001</v>
      </c>
      <c r="E21">
        <f t="shared" si="0"/>
        <v>0.47755999999999998</v>
      </c>
      <c r="F21">
        <f t="shared" si="0"/>
        <v>0.48203000000000001</v>
      </c>
      <c r="G21">
        <f t="shared" si="0"/>
        <v>0.48476999999999998</v>
      </c>
    </row>
    <row r="22" spans="1:7" x14ac:dyDescent="0.2">
      <c r="A22" t="s">
        <v>23</v>
      </c>
      <c r="B22">
        <f>(SUM(B6:B10)+SUM(B16:B20))/2</f>
        <v>0.19829999999999998</v>
      </c>
      <c r="C22">
        <f t="shared" ref="C22:G22" si="1">(SUM(C6:C10)+SUM(C16:C20))/2</f>
        <v>0.19764000000000001</v>
      </c>
      <c r="D22">
        <f t="shared" si="1"/>
        <v>0.19764000000000001</v>
      </c>
      <c r="E22">
        <f t="shared" si="1"/>
        <v>0.202845</v>
      </c>
      <c r="F22">
        <f t="shared" si="1"/>
        <v>0.20805000000000001</v>
      </c>
      <c r="G22">
        <f t="shared" si="1"/>
        <v>0.21055000000000001</v>
      </c>
    </row>
    <row r="23" spans="1:7" x14ac:dyDescent="0.2">
      <c r="A23" t="s">
        <v>24</v>
      </c>
      <c r="B23">
        <f>B22/B21</f>
        <v>0.42003812751535685</v>
      </c>
      <c r="C23">
        <f t="shared" ref="C23:G23" si="2">C22/C21</f>
        <v>0.41776406180642162</v>
      </c>
      <c r="D23">
        <f t="shared" si="2"/>
        <v>0.41776406180642162</v>
      </c>
      <c r="E23">
        <f t="shared" si="2"/>
        <v>0.42475291062903092</v>
      </c>
      <c r="F23">
        <f t="shared" si="2"/>
        <v>0.43161214032321643</v>
      </c>
      <c r="G23">
        <f t="shared" si="2"/>
        <v>0.43432968211729278</v>
      </c>
    </row>
    <row r="24" spans="1:7" x14ac:dyDescent="0.2">
      <c r="A24" t="s">
        <v>19</v>
      </c>
    </row>
    <row r="25" spans="1:7" x14ac:dyDescent="0.2">
      <c r="A25" t="s">
        <v>6</v>
      </c>
      <c r="B25">
        <v>0.47002086650000002</v>
      </c>
      <c r="C25">
        <v>0.47002086650000002</v>
      </c>
      <c r="D25">
        <v>0.47002086650000002</v>
      </c>
      <c r="E25">
        <v>0.47002086650000002</v>
      </c>
      <c r="F25">
        <v>0.45880672249999999</v>
      </c>
      <c r="G25">
        <v>0.45880672249999999</v>
      </c>
    </row>
    <row r="26" spans="1:7" x14ac:dyDescent="0.2">
      <c r="A26" t="s">
        <v>13</v>
      </c>
      <c r="B26">
        <v>1.27036861E-2</v>
      </c>
      <c r="C26">
        <v>1.27036861E-2</v>
      </c>
      <c r="D26">
        <v>1.27036861E-2</v>
      </c>
      <c r="E26">
        <v>1.27036861E-2</v>
      </c>
      <c r="F26">
        <v>1.2824408299999999E-2</v>
      </c>
      <c r="G26">
        <v>1.2824408299999999E-2</v>
      </c>
    </row>
    <row r="27" spans="1:7" x14ac:dyDescent="0.2">
      <c r="A27" t="s">
        <v>14</v>
      </c>
      <c r="B27">
        <v>0.37570954220000002</v>
      </c>
      <c r="C27">
        <v>0.37570954220000002</v>
      </c>
      <c r="D27">
        <v>0.37570954220000002</v>
      </c>
      <c r="E27">
        <v>0.37570954220000002</v>
      </c>
      <c r="F27">
        <v>0.33353592659999998</v>
      </c>
      <c r="G27">
        <v>0.33353592659999998</v>
      </c>
    </row>
    <row r="28" spans="1:7" x14ac:dyDescent="0.2">
      <c r="A28" t="s">
        <v>15</v>
      </c>
      <c r="B28">
        <v>1.1516259999999999E-4</v>
      </c>
      <c r="C28">
        <v>1.1516259999999999E-4</v>
      </c>
      <c r="D28">
        <v>1.1516259999999999E-4</v>
      </c>
      <c r="E28">
        <v>1.1516259999999999E-4</v>
      </c>
      <c r="F28">
        <v>1.3264329999999999E-4</v>
      </c>
      <c r="G28">
        <v>1.3264329999999999E-4</v>
      </c>
    </row>
    <row r="29" spans="1:7" x14ac:dyDescent="0.2">
      <c r="A29" t="s">
        <v>16</v>
      </c>
      <c r="B29">
        <v>6.4652649500000006E-2</v>
      </c>
      <c r="C29">
        <v>6.4652649500000006E-2</v>
      </c>
      <c r="D29">
        <v>6.4652649500000006E-2</v>
      </c>
      <c r="E29">
        <v>6.4652649500000006E-2</v>
      </c>
      <c r="F29">
        <v>8.38539747E-2</v>
      </c>
      <c r="G29">
        <v>8.38539747E-2</v>
      </c>
    </row>
    <row r="30" spans="1:7" x14ac:dyDescent="0.2">
      <c r="A30" t="s">
        <v>17</v>
      </c>
      <c r="B30">
        <v>1.4872209799999999E-2</v>
      </c>
      <c r="C30">
        <v>1.4872209799999999E-2</v>
      </c>
      <c r="D30">
        <v>1.4872209799999999E-2</v>
      </c>
      <c r="E30">
        <v>1.4872209799999999E-2</v>
      </c>
      <c r="F30">
        <v>2.7463663700000002E-2</v>
      </c>
      <c r="G30">
        <v>2.7463663700000002E-2</v>
      </c>
    </row>
    <row r="31" spans="1:7" x14ac:dyDescent="0.2">
      <c r="A31" t="s">
        <v>9</v>
      </c>
      <c r="B31">
        <v>6.1925883299999998E-2</v>
      </c>
      <c r="C31">
        <v>6.1925883299999998E-2</v>
      </c>
      <c r="D31">
        <v>6.1925883299999998E-2</v>
      </c>
      <c r="E31">
        <v>6.1925883299999998E-2</v>
      </c>
      <c r="F31">
        <v>8.3382660900000002E-2</v>
      </c>
      <c r="G31">
        <v>8.3382660900000002E-2</v>
      </c>
    </row>
    <row r="32" spans="1:7" x14ac:dyDescent="0.2">
      <c r="A32" t="s">
        <v>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19</v>
      </c>
    </row>
    <row r="34" spans="1:7" x14ac:dyDescent="0.2">
      <c r="A34" t="s">
        <v>6</v>
      </c>
      <c r="B34">
        <v>0.47002086650000002</v>
      </c>
      <c r="C34">
        <v>0.47002086650000002</v>
      </c>
      <c r="D34">
        <v>0.47002086650000002</v>
      </c>
      <c r="E34">
        <v>0.45880672249999999</v>
      </c>
      <c r="F34">
        <v>0.45880672249999999</v>
      </c>
      <c r="G34">
        <v>0.45880672249999999</v>
      </c>
    </row>
    <row r="35" spans="1:7" x14ac:dyDescent="0.2">
      <c r="A35" t="s">
        <v>13</v>
      </c>
      <c r="B35">
        <v>1.27036861E-2</v>
      </c>
      <c r="C35">
        <v>1.27036861E-2</v>
      </c>
      <c r="D35">
        <v>1.27036861E-2</v>
      </c>
      <c r="E35">
        <v>1.2824408299999999E-2</v>
      </c>
      <c r="F35">
        <v>1.2824408299999999E-2</v>
      </c>
      <c r="G35">
        <v>1.2824408299999999E-2</v>
      </c>
    </row>
    <row r="36" spans="1:7" x14ac:dyDescent="0.2">
      <c r="A36" t="s">
        <v>14</v>
      </c>
      <c r="B36">
        <v>0.37570954220000002</v>
      </c>
      <c r="C36">
        <v>0.37570954220000002</v>
      </c>
      <c r="D36">
        <v>0.37570954220000002</v>
      </c>
      <c r="E36">
        <v>0.33353592659999998</v>
      </c>
      <c r="F36">
        <v>0.33353592659999998</v>
      </c>
      <c r="G36">
        <v>0.33353592659999998</v>
      </c>
    </row>
    <row r="37" spans="1:7" x14ac:dyDescent="0.2">
      <c r="A37" t="s">
        <v>15</v>
      </c>
      <c r="B37">
        <v>1.1516259999999999E-4</v>
      </c>
      <c r="C37">
        <v>1.1516259999999999E-4</v>
      </c>
      <c r="D37">
        <v>1.1516259999999999E-4</v>
      </c>
      <c r="E37">
        <v>1.3264329999999999E-4</v>
      </c>
      <c r="F37">
        <v>1.3264329999999999E-4</v>
      </c>
      <c r="G37">
        <v>1.3264329999999999E-4</v>
      </c>
    </row>
    <row r="38" spans="1:7" x14ac:dyDescent="0.2">
      <c r="A38" t="s">
        <v>16</v>
      </c>
      <c r="B38">
        <v>6.4652649500000006E-2</v>
      </c>
      <c r="C38">
        <v>6.4652649500000006E-2</v>
      </c>
      <c r="D38">
        <v>6.4652649500000006E-2</v>
      </c>
      <c r="E38">
        <v>8.38539747E-2</v>
      </c>
      <c r="F38">
        <v>8.38539747E-2</v>
      </c>
      <c r="G38">
        <v>8.38539747E-2</v>
      </c>
    </row>
    <row r="39" spans="1:7" x14ac:dyDescent="0.2">
      <c r="A39" t="s">
        <v>17</v>
      </c>
      <c r="B39">
        <v>1.4872209799999999E-2</v>
      </c>
      <c r="C39">
        <v>1.4872209799999999E-2</v>
      </c>
      <c r="D39">
        <v>1.4872209799999999E-2</v>
      </c>
      <c r="E39">
        <v>2.7463663700000002E-2</v>
      </c>
      <c r="F39">
        <v>2.7463663700000002E-2</v>
      </c>
      <c r="G39">
        <v>2.7463663700000002E-2</v>
      </c>
    </row>
    <row r="40" spans="1:7" x14ac:dyDescent="0.2">
      <c r="A40" t="s">
        <v>9</v>
      </c>
      <c r="B40">
        <v>6.1925883299999998E-2</v>
      </c>
      <c r="C40">
        <v>6.1925883299999998E-2</v>
      </c>
      <c r="D40">
        <v>6.1925883299999998E-2</v>
      </c>
      <c r="E40">
        <v>8.3382660900000002E-2</v>
      </c>
      <c r="F40">
        <v>8.3382660900000002E-2</v>
      </c>
      <c r="G40">
        <v>8.3382660900000002E-2</v>
      </c>
    </row>
    <row r="41" spans="1:7" x14ac:dyDescent="0.2">
      <c r="A41" t="s">
        <v>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25</v>
      </c>
      <c r="B42">
        <f>(B25+B34)/2</f>
        <v>0.47002086650000002</v>
      </c>
      <c r="C42">
        <f t="shared" ref="C42:G42" si="3">(C25+C34)/2</f>
        <v>0.47002086650000002</v>
      </c>
      <c r="D42">
        <f t="shared" si="3"/>
        <v>0.47002086650000002</v>
      </c>
      <c r="E42">
        <f t="shared" si="3"/>
        <v>0.46441379449999998</v>
      </c>
      <c r="F42">
        <f t="shared" si="3"/>
        <v>0.45880672249999999</v>
      </c>
      <c r="G42">
        <f t="shared" si="3"/>
        <v>0.45880672249999999</v>
      </c>
    </row>
    <row r="43" spans="1:7" x14ac:dyDescent="0.2">
      <c r="A43" t="s">
        <v>26</v>
      </c>
      <c r="B43">
        <f>(B30+B31+B29+B28+B37+B38+B39+B40)/2</f>
        <v>0.14156590520000001</v>
      </c>
      <c r="C43">
        <f t="shared" ref="C43:G43" si="4">(C30+C31+C29+C28+C37+C38+C39+C40)/2</f>
        <v>0.14156590520000001</v>
      </c>
      <c r="D43">
        <f t="shared" si="4"/>
        <v>0.14156590520000001</v>
      </c>
      <c r="E43">
        <f t="shared" si="4"/>
        <v>0.16819942390000003</v>
      </c>
      <c r="F43">
        <f t="shared" si="4"/>
        <v>0.1948329426</v>
      </c>
      <c r="G43">
        <f t="shared" si="4"/>
        <v>0.1948329426</v>
      </c>
    </row>
    <row r="44" spans="1:7" x14ac:dyDescent="0.2">
      <c r="A44" t="s">
        <v>27</v>
      </c>
      <c r="B44">
        <f>B43/B42</f>
        <v>0.30119068171200014</v>
      </c>
      <c r="C44">
        <f t="shared" ref="C44:G44" si="5">C43/C42</f>
        <v>0.30119068171200014</v>
      </c>
      <c r="D44">
        <f t="shared" si="5"/>
        <v>0.30119068171200014</v>
      </c>
      <c r="E44">
        <f t="shared" si="5"/>
        <v>0.36217577059933787</v>
      </c>
      <c r="F44">
        <f t="shared" si="5"/>
        <v>0.42465145571183299</v>
      </c>
      <c r="G44">
        <f t="shared" si="5"/>
        <v>0.42465145571183299</v>
      </c>
    </row>
    <row r="45" spans="1:7" x14ac:dyDescent="0.2">
      <c r="A45" t="s">
        <v>19</v>
      </c>
    </row>
    <row r="46" spans="1:7" x14ac:dyDescent="0.2">
      <c r="A46" t="s">
        <v>3</v>
      </c>
      <c r="B46">
        <f t="shared" ref="B46:G48" si="6">(B21+B42)/2</f>
        <v>0.47106043325000002</v>
      </c>
      <c r="C46">
        <f t="shared" si="6"/>
        <v>0.47155543325000004</v>
      </c>
      <c r="D46">
        <f t="shared" si="6"/>
        <v>0.47155543325000004</v>
      </c>
      <c r="E46">
        <f t="shared" si="6"/>
        <v>0.47098689724999998</v>
      </c>
      <c r="F46">
        <f t="shared" si="6"/>
        <v>0.47041836125000003</v>
      </c>
      <c r="G46">
        <f t="shared" si="6"/>
        <v>0.47178836125000001</v>
      </c>
    </row>
    <row r="47" spans="1:7" x14ac:dyDescent="0.2">
      <c r="A47" t="s">
        <v>0</v>
      </c>
      <c r="B47">
        <f t="shared" si="6"/>
        <v>0.16993295259999999</v>
      </c>
      <c r="C47">
        <f t="shared" si="6"/>
        <v>0.16960295260000002</v>
      </c>
      <c r="D47">
        <f t="shared" si="6"/>
        <v>0.16960295260000002</v>
      </c>
      <c r="E47">
        <f t="shared" si="6"/>
        <v>0.18552221195000002</v>
      </c>
      <c r="F47">
        <f t="shared" si="6"/>
        <v>0.20144147130000001</v>
      </c>
      <c r="G47">
        <f t="shared" si="6"/>
        <v>0.20269147130000001</v>
      </c>
    </row>
    <row r="48" spans="1:7" x14ac:dyDescent="0.2">
      <c r="A48" t="s">
        <v>1</v>
      </c>
      <c r="B48">
        <f t="shared" si="6"/>
        <v>0.3606144046136785</v>
      </c>
      <c r="C48">
        <f t="shared" si="6"/>
        <v>0.35947737175921091</v>
      </c>
      <c r="D48">
        <f t="shared" si="6"/>
        <v>0.35947737175921091</v>
      </c>
      <c r="E48">
        <f t="shared" si="6"/>
        <v>0.39346434061418439</v>
      </c>
      <c r="F48">
        <f t="shared" si="6"/>
        <v>0.42813179801752471</v>
      </c>
      <c r="G48">
        <f t="shared" si="6"/>
        <v>0.42949056891456289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Houston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2025-10-10T14:55:39Z</dcterms:modified>
</cp:coreProperties>
</file>