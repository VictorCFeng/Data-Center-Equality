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rider/MISO/"/>
    </mc:Choice>
  </mc:AlternateContent>
  <xr:revisionPtr revIDLastSave="0" documentId="13_ncr:1_{E5160083-0325-2E41-B4E9-5AD87FB7B696}" xr6:coauthVersionLast="47" xr6:coauthVersionMax="47" xr10:uidLastSave="{00000000-0000-0000-0000-000000000000}"/>
  <bookViews>
    <workbookView xWindow="20" yWindow="500" windowWidth="38400" windowHeight="21100" activeTab="4" xr2:uid="{08CDB012-30B4-7842-ADAB-7B261DF56280}"/>
  </bookViews>
  <sheets>
    <sheet name="LRZ1" sheetId="21" r:id="rId1"/>
    <sheet name="LRZ35" sheetId="22" r:id="rId2"/>
    <sheet name="LRZ27" sheetId="23" r:id="rId3"/>
    <sheet name="LRZ6" sheetId="25" r:id="rId4"/>
    <sheet name="LRZ8910" sheetId="2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6" l="1"/>
  <c r="D33" i="26"/>
  <c r="E33" i="26"/>
  <c r="C33" i="26"/>
  <c r="F33" i="26"/>
  <c r="B33" i="26"/>
  <c r="C31" i="26"/>
  <c r="D31" i="26"/>
  <c r="E31" i="26"/>
  <c r="F31" i="26"/>
  <c r="G31" i="26"/>
  <c r="B31" i="26"/>
  <c r="C30" i="26"/>
  <c r="D30" i="26"/>
  <c r="E30" i="26"/>
  <c r="F30" i="26"/>
  <c r="G30" i="26"/>
  <c r="B30" i="26"/>
  <c r="C29" i="26"/>
  <c r="D29" i="26"/>
  <c r="E29" i="26"/>
  <c r="F29" i="26"/>
  <c r="G29" i="26"/>
  <c r="B29" i="26"/>
  <c r="D24" i="26"/>
  <c r="E24" i="26"/>
  <c r="G24" i="26"/>
  <c r="C24" i="26"/>
  <c r="D23" i="26"/>
  <c r="E23" i="26"/>
  <c r="G23" i="26"/>
  <c r="C23" i="26"/>
  <c r="D22" i="26"/>
  <c r="E22" i="26"/>
  <c r="G22" i="26"/>
  <c r="C22" i="26"/>
  <c r="C11" i="26"/>
  <c r="D11" i="26"/>
  <c r="E11" i="26"/>
  <c r="F11" i="26"/>
  <c r="B11" i="26"/>
  <c r="C10" i="26"/>
  <c r="D10" i="26"/>
  <c r="E10" i="26"/>
  <c r="F10" i="26"/>
  <c r="B10" i="26"/>
  <c r="C9" i="26"/>
  <c r="D9" i="26"/>
  <c r="E9" i="26"/>
  <c r="F9" i="26"/>
  <c r="B9" i="26"/>
  <c r="C26" i="25"/>
  <c r="D26" i="25"/>
  <c r="E26" i="25"/>
  <c r="F26" i="25"/>
  <c r="G26" i="25"/>
  <c r="B26" i="25"/>
  <c r="C24" i="25"/>
  <c r="D24" i="25"/>
  <c r="E24" i="25"/>
  <c r="F24" i="25"/>
  <c r="G24" i="25"/>
  <c r="B24" i="25"/>
  <c r="C23" i="25"/>
  <c r="D23" i="25"/>
  <c r="E23" i="25"/>
  <c r="F23" i="25"/>
  <c r="G23" i="25"/>
  <c r="B23" i="25"/>
  <c r="C22" i="25"/>
  <c r="D22" i="25"/>
  <c r="E22" i="25"/>
  <c r="F22" i="25"/>
  <c r="G22" i="25"/>
  <c r="B22" i="25"/>
  <c r="C8" i="25"/>
  <c r="D8" i="25"/>
  <c r="E8" i="25"/>
  <c r="E9" i="25" s="1"/>
  <c r="F8" i="25"/>
  <c r="F9" i="25" s="1"/>
  <c r="G8" i="25"/>
  <c r="G9" i="25" s="1"/>
  <c r="B8" i="25"/>
  <c r="C7" i="25"/>
  <c r="D7" i="25"/>
  <c r="E7" i="25"/>
  <c r="F7" i="25"/>
  <c r="G7" i="25"/>
  <c r="B7" i="25"/>
  <c r="C37" i="23"/>
  <c r="D37" i="23"/>
  <c r="E37" i="23"/>
  <c r="F37" i="23"/>
  <c r="G37" i="23"/>
  <c r="B37" i="23"/>
  <c r="C35" i="23"/>
  <c r="D35" i="23"/>
  <c r="E35" i="23"/>
  <c r="F35" i="23"/>
  <c r="G35" i="23"/>
  <c r="B35" i="23"/>
  <c r="C34" i="23"/>
  <c r="D34" i="23"/>
  <c r="E34" i="23"/>
  <c r="F34" i="23"/>
  <c r="G34" i="23"/>
  <c r="B34" i="23"/>
  <c r="C33" i="23"/>
  <c r="D33" i="23"/>
  <c r="E33" i="23"/>
  <c r="F33" i="23"/>
  <c r="G33" i="23"/>
  <c r="B33" i="23"/>
  <c r="C27" i="23"/>
  <c r="D27" i="23"/>
  <c r="E27" i="23"/>
  <c r="F27" i="23"/>
  <c r="G27" i="23"/>
  <c r="B27" i="23"/>
  <c r="C26" i="23"/>
  <c r="D26" i="23"/>
  <c r="E26" i="23"/>
  <c r="F26" i="23"/>
  <c r="G26" i="23"/>
  <c r="B26" i="23"/>
  <c r="C25" i="23"/>
  <c r="D25" i="23"/>
  <c r="E25" i="23"/>
  <c r="F25" i="23"/>
  <c r="G25" i="23"/>
  <c r="B25" i="23"/>
  <c r="B9" i="25" l="1"/>
  <c r="D9" i="25"/>
  <c r="C9" i="25"/>
  <c r="C17" i="23"/>
  <c r="D17" i="23"/>
  <c r="E17" i="23"/>
  <c r="F17" i="23"/>
  <c r="G17" i="23"/>
  <c r="B17" i="23"/>
  <c r="C16" i="23"/>
  <c r="D16" i="23"/>
  <c r="E16" i="23"/>
  <c r="F16" i="23"/>
  <c r="G16" i="23"/>
  <c r="B16" i="23"/>
  <c r="C15" i="23"/>
  <c r="D15" i="23"/>
  <c r="E15" i="23"/>
  <c r="F15" i="23"/>
  <c r="G15" i="23"/>
  <c r="B15" i="23"/>
  <c r="C10" i="23"/>
  <c r="D10" i="23"/>
  <c r="E10" i="23"/>
  <c r="F10" i="23"/>
  <c r="G10" i="23"/>
  <c r="B10" i="23"/>
  <c r="C9" i="23"/>
  <c r="D9" i="23"/>
  <c r="E9" i="23"/>
  <c r="F9" i="23"/>
  <c r="G9" i="23"/>
  <c r="B9" i="23"/>
  <c r="C8" i="23"/>
  <c r="D8" i="23"/>
  <c r="E8" i="23"/>
  <c r="F8" i="23"/>
  <c r="G8" i="23"/>
  <c r="B8" i="23"/>
  <c r="C7" i="21"/>
  <c r="D7" i="21"/>
  <c r="E7" i="21"/>
  <c r="F7" i="21"/>
  <c r="G7" i="21"/>
  <c r="B7" i="21"/>
  <c r="C6" i="21"/>
  <c r="D6" i="21"/>
  <c r="E6" i="21"/>
  <c r="F6" i="21"/>
  <c r="G6" i="21"/>
  <c r="B6" i="21"/>
  <c r="C5" i="21"/>
  <c r="D5" i="21"/>
  <c r="E5" i="21"/>
  <c r="F5" i="21"/>
  <c r="G5" i="21"/>
  <c r="B5" i="21"/>
  <c r="C12" i="22"/>
  <c r="D12" i="22"/>
  <c r="E12" i="22"/>
  <c r="F12" i="22"/>
  <c r="G12" i="22"/>
  <c r="B12" i="22"/>
  <c r="C11" i="22"/>
  <c r="D11" i="22"/>
  <c r="E11" i="22"/>
  <c r="F11" i="22"/>
  <c r="G11" i="22"/>
  <c r="B11" i="22"/>
  <c r="C10" i="22"/>
  <c r="D10" i="22"/>
  <c r="E10" i="22"/>
  <c r="F10" i="22"/>
  <c r="G10" i="22"/>
  <c r="B10" i="22"/>
</calcChain>
</file>

<file path=xl/sharedStrings.xml><?xml version="1.0" encoding="utf-8"?>
<sst xmlns="http://schemas.openxmlformats.org/spreadsheetml/2006/main" count="111" uniqueCount="65">
  <si>
    <t>DC</t>
  </si>
  <si>
    <t>Ratio</t>
  </si>
  <si>
    <t>Residential</t>
  </si>
  <si>
    <t>RU</t>
  </si>
  <si>
    <t>xxxxxx</t>
  </si>
  <si>
    <t>xxxxxxx</t>
  </si>
  <si>
    <t>RU-1</t>
  </si>
  <si>
    <t>DC-1</t>
  </si>
  <si>
    <t>Ratio-1</t>
  </si>
  <si>
    <t>RU-2</t>
  </si>
  <si>
    <t>DC-2</t>
  </si>
  <si>
    <t>Ratio-2</t>
  </si>
  <si>
    <t>Lighting</t>
  </si>
  <si>
    <t>Small General Service Energy</t>
  </si>
  <si>
    <t>Small General Service Demand</t>
  </si>
  <si>
    <t>Large General Service &amp; Substation</t>
  </si>
  <si>
    <t>Individual Contract Rates</t>
  </si>
  <si>
    <t>Traffic Control Service</t>
  </si>
  <si>
    <t>Water Pumping Service</t>
  </si>
  <si>
    <t>Commercial</t>
  </si>
  <si>
    <t>Industrial</t>
  </si>
  <si>
    <t>Interdepartmental</t>
  </si>
  <si>
    <t>Wholesale</t>
  </si>
  <si>
    <t>-</t>
  </si>
  <si>
    <t>Small C&amp;I</t>
  </si>
  <si>
    <t>Large C&amp;I</t>
  </si>
  <si>
    <t>Small Commercial</t>
  </si>
  <si>
    <t>Medium and Large Commercial &amp; Industrial</t>
  </si>
  <si>
    <t>Contract</t>
  </si>
  <si>
    <t>Miscellaneous</t>
  </si>
  <si>
    <t>Streetlighting</t>
  </si>
  <si>
    <t>RU-3</t>
  </si>
  <si>
    <t>DC-3</t>
  </si>
  <si>
    <t>Ratio-3</t>
  </si>
  <si>
    <t>Secondary C&amp;I</t>
  </si>
  <si>
    <t>Primary C&amp;I</t>
  </si>
  <si>
    <t>RU-4</t>
  </si>
  <si>
    <t>DC-4</t>
  </si>
  <si>
    <t>Ratio-4</t>
  </si>
  <si>
    <t>C&amp;I - Small</t>
  </si>
  <si>
    <t>C&amp;I - Large 1</t>
  </si>
  <si>
    <t>C&amp;I - Large 2</t>
  </si>
  <si>
    <t>Rate RS</t>
  </si>
  <si>
    <t>Rates CS</t>
  </si>
  <si>
    <t>Rate HLF</t>
  </si>
  <si>
    <t>Customer L</t>
  </si>
  <si>
    <t>Customer O</t>
  </si>
  <si>
    <t>Rate WP</t>
  </si>
  <si>
    <t>Rate SL</t>
  </si>
  <si>
    <t>Rate MHLS</t>
  </si>
  <si>
    <t>Rate MOLS &amp; UOLS (1)</t>
  </si>
  <si>
    <t>Rates TS, FS, and MS</t>
  </si>
  <si>
    <t>Rate LLF</t>
  </si>
  <si>
    <t>Small General</t>
  </si>
  <si>
    <t>Large General</t>
  </si>
  <si>
    <t>Large Load &amp; Factor</t>
  </si>
  <si>
    <t>Large Industrial Power</t>
  </si>
  <si>
    <t>Light</t>
  </si>
  <si>
    <t>Small Eletric</t>
  </si>
  <si>
    <t>Municipal</t>
  </si>
  <si>
    <t>Large Electric</t>
  </si>
  <si>
    <t>Large Electric &amp; High Load</t>
  </si>
  <si>
    <t>Master metered</t>
  </si>
  <si>
    <t>High Voltage</t>
  </si>
  <si>
    <t>Large Interruptible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</si>
</sst>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Helvetica"/>
      <family val="2"/>
    </font>
    <font>
      <i/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NumberFormat="1"/>
    <xf numFmtId="0" fontId="3" fillId="0" borderId="0" xfId="0" applyFont="1"/>
    <xf numFmtId="3" fontId="0" fillId="0" borderId="0" xfId="0" applyNumberFormat="1"/>
    <xf numFmtId="10" fontId="2" fillId="0" borderId="0" xfId="0" applyNumberFormat="1" applyFont="1"/>
    <xf numFmtId="3" fontId="2" fillId="0" borderId="0" xfId="0" applyNumberFormat="1" applyFont="1"/>
    <xf numFmtId="0" fontId="0" fillId="0" borderId="0" xfId="0" applyFont="1"/>
    <xf numFmtId="0" fontId="0" fillId="0" borderId="0" xfId="0" applyNumberFormat="1" applyFont="1"/>
    <xf numFmtId="0" fontId="4" fillId="0" borderId="0" xfId="0" applyFont="1"/>
  </cellXfs>
  <cellStyles count="2">
    <cellStyle name="Normal" xfId="0" builtinId="0"/>
    <cellStyle name="Normal 10" xfId="1" xr:uid="{BD7205C7-B9D5-4E4D-AA83-2562817698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4EE2-7089-F645-A53E-064DD6D156BE}">
  <dimension ref="A1:G7"/>
  <sheetViews>
    <sheetView workbookViewId="0">
      <selection activeCell="G18" sqref="G18"/>
    </sheetView>
  </sheetViews>
  <sheetFormatPr baseColWidth="10" defaultRowHeight="16"/>
  <cols>
    <col min="1" max="1" width="30.5" bestFit="1" customWidth="1"/>
    <col min="2" max="2" width="12.164062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2</v>
      </c>
      <c r="B2" s="2">
        <v>0.3614</v>
      </c>
      <c r="C2" s="2">
        <v>0.3614</v>
      </c>
      <c r="D2" s="2">
        <v>0.39779999999999999</v>
      </c>
      <c r="E2" s="2">
        <v>0.39900000000000002</v>
      </c>
      <c r="F2" s="2">
        <v>0.39560000000000001</v>
      </c>
      <c r="G2" s="2">
        <v>0.40410000000000001</v>
      </c>
    </row>
    <row r="3" spans="1:7">
      <c r="A3" t="s">
        <v>13</v>
      </c>
      <c r="B3" s="2">
        <v>3.2800000000000003E-2</v>
      </c>
      <c r="C3" s="2">
        <v>3.2800000000000003E-2</v>
      </c>
      <c r="D3" s="2">
        <v>2.8299999999999999E-2</v>
      </c>
      <c r="E3" s="2">
        <v>2.7900000000000001E-2</v>
      </c>
      <c r="F3" s="2">
        <v>2.7400000000000001E-2</v>
      </c>
      <c r="G3" s="2">
        <v>2.4799999999999999E-2</v>
      </c>
    </row>
    <row r="4" spans="1:7">
      <c r="A4" t="s">
        <v>14</v>
      </c>
      <c r="B4" s="2">
        <v>0.60589999999999999</v>
      </c>
      <c r="C4" s="2">
        <v>0.60589999999999999</v>
      </c>
      <c r="D4" s="2">
        <v>0.57389999999999997</v>
      </c>
      <c r="E4" s="2">
        <v>0.57310000000000005</v>
      </c>
      <c r="F4" s="2">
        <v>0.57469999999999999</v>
      </c>
      <c r="G4" s="2">
        <v>0.57110000000000005</v>
      </c>
    </row>
    <row r="5" spans="1:7">
      <c r="A5" t="s">
        <v>3</v>
      </c>
      <c r="B5" s="2">
        <f>B2</f>
        <v>0.3614</v>
      </c>
      <c r="C5" s="2">
        <f t="shared" ref="C5:G5" si="0">C2</f>
        <v>0.3614</v>
      </c>
      <c r="D5" s="2">
        <f t="shared" si="0"/>
        <v>0.39779999999999999</v>
      </c>
      <c r="E5" s="2">
        <f t="shared" si="0"/>
        <v>0.39900000000000002</v>
      </c>
      <c r="F5" s="2">
        <f t="shared" si="0"/>
        <v>0.39560000000000001</v>
      </c>
      <c r="G5" s="2">
        <f t="shared" si="0"/>
        <v>0.40410000000000001</v>
      </c>
    </row>
    <row r="6" spans="1:7">
      <c r="A6" t="s">
        <v>0</v>
      </c>
      <c r="B6" s="2">
        <f>B4</f>
        <v>0.60589999999999999</v>
      </c>
      <c r="C6" s="2">
        <f t="shared" ref="C6:G6" si="1">C4</f>
        <v>0.60589999999999999</v>
      </c>
      <c r="D6" s="2">
        <f t="shared" si="1"/>
        <v>0.57389999999999997</v>
      </c>
      <c r="E6" s="2">
        <f t="shared" si="1"/>
        <v>0.57310000000000005</v>
      </c>
      <c r="F6" s="2">
        <f t="shared" si="1"/>
        <v>0.57469999999999999</v>
      </c>
      <c r="G6" s="2">
        <f t="shared" si="1"/>
        <v>0.57110000000000005</v>
      </c>
    </row>
    <row r="7" spans="1:7">
      <c r="A7" t="s">
        <v>1</v>
      </c>
      <c r="B7" s="3">
        <f>B6/B5</f>
        <v>1.6765356945213061</v>
      </c>
      <c r="C7" s="3">
        <f t="shared" ref="C7:G7" si="2">C6/C5</f>
        <v>1.6765356945213061</v>
      </c>
      <c r="D7" s="3">
        <f t="shared" si="2"/>
        <v>1.442684766214178</v>
      </c>
      <c r="E7" s="3">
        <f t="shared" si="2"/>
        <v>1.4363408521303258</v>
      </c>
      <c r="F7" s="3">
        <f t="shared" si="2"/>
        <v>1.4527300303336703</v>
      </c>
      <c r="G7" s="3">
        <f t="shared" si="2"/>
        <v>1.4132640435535759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09A-F304-E340-9AC7-A316AC6FB2B1}">
  <dimension ref="A1:G20"/>
  <sheetViews>
    <sheetView workbookViewId="0">
      <selection activeCell="F18" sqref="F18"/>
    </sheetView>
  </sheetViews>
  <sheetFormatPr baseColWidth="10" defaultRowHeight="16"/>
  <cols>
    <col min="1" max="1" width="30.5" bestFit="1" customWidth="1"/>
  </cols>
  <sheetData>
    <row r="1" spans="1:7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t="s">
        <v>2</v>
      </c>
      <c r="B2" s="3">
        <v>0.31345000000000001</v>
      </c>
      <c r="C2" s="3">
        <v>0.3149529222257344</v>
      </c>
      <c r="D2" s="3">
        <v>0.30822530776353524</v>
      </c>
      <c r="E2" s="3">
        <v>0.28504922334344934</v>
      </c>
      <c r="F2" s="3">
        <v>0.30217239554049541</v>
      </c>
      <c r="G2" s="3">
        <v>0.29727776787848958</v>
      </c>
    </row>
    <row r="3" spans="1:7">
      <c r="A3" t="s">
        <v>13</v>
      </c>
      <c r="B3" s="3">
        <v>0.10119</v>
      </c>
      <c r="C3" s="3">
        <v>9.8299941433168614E-2</v>
      </c>
      <c r="D3" s="3">
        <v>7.9046490791817692E-2</v>
      </c>
      <c r="E3" s="3">
        <v>8.8506166961044477E-2</v>
      </c>
      <c r="F3" s="3">
        <v>9.4017856545462519E-2</v>
      </c>
      <c r="G3" s="3">
        <v>9.7620782503424833E-2</v>
      </c>
    </row>
    <row r="4" spans="1:7">
      <c r="A4" t="s">
        <v>14</v>
      </c>
      <c r="B4" s="3">
        <v>7.6960000000000001E-2</v>
      </c>
      <c r="C4" s="3">
        <v>7.4806266686406803E-2</v>
      </c>
      <c r="D4" s="3">
        <v>8.8991921537800445E-2</v>
      </c>
      <c r="E4" s="3">
        <v>8.5246951186381106E-2</v>
      </c>
      <c r="F4" s="3">
        <v>7.6609915667871314E-2</v>
      </c>
      <c r="G4" s="3">
        <v>7.0203124511426462E-2</v>
      </c>
    </row>
    <row r="5" spans="1:7">
      <c r="A5" t="s">
        <v>15</v>
      </c>
      <c r="B5" s="3">
        <v>0.29481000000000002</v>
      </c>
      <c r="C5" s="3">
        <v>0.27465958385626815</v>
      </c>
      <c r="D5" s="3">
        <v>0.26007198782433577</v>
      </c>
      <c r="E5" s="3">
        <v>0.26249276045278863</v>
      </c>
      <c r="F5" s="3">
        <v>0.23939928247472639</v>
      </c>
      <c r="G5" s="3">
        <v>0.22939363456421727</v>
      </c>
    </row>
    <row r="6" spans="1:7">
      <c r="A6" t="s">
        <v>16</v>
      </c>
      <c r="B6" s="3">
        <v>0.21049999999999999</v>
      </c>
      <c r="C6" s="3">
        <v>0.23422961265366032</v>
      </c>
      <c r="D6" s="3">
        <v>0.26039433485451224</v>
      </c>
      <c r="E6" s="3">
        <v>0.27674778688190699</v>
      </c>
      <c r="F6" s="3">
        <v>0.28527241468799935</v>
      </c>
      <c r="G6" s="3">
        <v>0.30302427779349245</v>
      </c>
    </row>
    <row r="7" spans="1:7">
      <c r="A7" t="s">
        <v>17</v>
      </c>
      <c r="B7" s="3">
        <v>1.7000000000000001E-4</v>
      </c>
      <c r="C7" s="3">
        <v>1.7162755305330757E-4</v>
      </c>
      <c r="D7" s="3">
        <v>1.7116279319957076E-4</v>
      </c>
      <c r="E7" s="3">
        <v>1.5598606713548361E-4</v>
      </c>
      <c r="F7" s="3">
        <v>1.4617740838369624E-4</v>
      </c>
      <c r="G7" s="3">
        <v>1.4434466123641011E-4</v>
      </c>
    </row>
    <row r="8" spans="1:7">
      <c r="A8" t="s">
        <v>18</v>
      </c>
      <c r="B8" s="3">
        <v>1.6199999999999999E-3</v>
      </c>
      <c r="C8" s="3">
        <v>1.5666907066554999E-3</v>
      </c>
      <c r="D8" s="3">
        <v>1.6863847139512781E-3</v>
      </c>
      <c r="E8" s="3">
        <v>1.5619748608222334E-3</v>
      </c>
      <c r="F8" s="3">
        <v>1.68421950969844E-3</v>
      </c>
      <c r="G8" s="3">
        <v>2.0083014756993546E-3</v>
      </c>
    </row>
    <row r="9" spans="1:7">
      <c r="A9" t="s">
        <v>12</v>
      </c>
      <c r="B9" s="3">
        <v>1.2999999999999999E-3</v>
      </c>
      <c r="C9" s="3">
        <v>1.3133548850529173E-3</v>
      </c>
      <c r="D9" s="3">
        <v>1.4124097208477499E-3</v>
      </c>
      <c r="E9" s="3">
        <v>2.3915024647153029E-4</v>
      </c>
      <c r="F9" s="3">
        <v>6.9773816536288316E-4</v>
      </c>
      <c r="G9" s="3">
        <v>3.2776661201370453E-4</v>
      </c>
    </row>
    <row r="10" spans="1:7">
      <c r="A10" t="s">
        <v>3</v>
      </c>
      <c r="B10">
        <f>B2</f>
        <v>0.31345000000000001</v>
      </c>
      <c r="C10">
        <f t="shared" ref="C10:G10" si="0">C2</f>
        <v>0.3149529222257344</v>
      </c>
      <c r="D10">
        <f t="shared" si="0"/>
        <v>0.30822530776353524</v>
      </c>
      <c r="E10">
        <f t="shared" si="0"/>
        <v>0.28504922334344934</v>
      </c>
      <c r="F10">
        <f t="shared" si="0"/>
        <v>0.30217239554049541</v>
      </c>
      <c r="G10">
        <f t="shared" si="0"/>
        <v>0.29727776787848958</v>
      </c>
    </row>
    <row r="11" spans="1:7">
      <c r="A11" t="s">
        <v>0</v>
      </c>
      <c r="B11">
        <f>B5+B6</f>
        <v>0.50531000000000004</v>
      </c>
      <c r="C11">
        <f t="shared" ref="C11:G11" si="1">C5+C6</f>
        <v>0.50888919650992848</v>
      </c>
      <c r="D11">
        <f t="shared" si="1"/>
        <v>0.52046632267884796</v>
      </c>
      <c r="E11">
        <f t="shared" si="1"/>
        <v>0.53924054733469562</v>
      </c>
      <c r="F11">
        <f t="shared" si="1"/>
        <v>0.52467169716272577</v>
      </c>
      <c r="G11">
        <f t="shared" si="1"/>
        <v>0.53241791235770974</v>
      </c>
    </row>
    <row r="12" spans="1:7">
      <c r="A12" t="s">
        <v>1</v>
      </c>
      <c r="B12">
        <f>B11/B10</f>
        <v>1.6120912426224279</v>
      </c>
      <c r="C12">
        <f t="shared" ref="C12:G12" si="2">C11/C10</f>
        <v>1.615762739757008</v>
      </c>
      <c r="D12">
        <f t="shared" si="2"/>
        <v>1.6885904874434909</v>
      </c>
      <c r="E12">
        <f t="shared" si="2"/>
        <v>1.8917453659748336</v>
      </c>
      <c r="F12">
        <f t="shared" si="2"/>
        <v>1.7363323218993785</v>
      </c>
      <c r="G12">
        <f t="shared" si="2"/>
        <v>1.7909778997510915</v>
      </c>
    </row>
    <row r="13" spans="1:7">
      <c r="B13" s="2"/>
      <c r="C13" s="2"/>
      <c r="D13" s="2"/>
      <c r="E13" s="2"/>
      <c r="F13" s="2"/>
      <c r="G13" s="2"/>
    </row>
    <row r="14" spans="1:7">
      <c r="B14" s="2"/>
      <c r="C14" s="2"/>
      <c r="D14" s="2"/>
      <c r="E14" s="2"/>
      <c r="F14" s="2"/>
      <c r="G14" s="2"/>
    </row>
    <row r="15" spans="1:7">
      <c r="B15" s="2"/>
      <c r="C15" s="2"/>
      <c r="D15" s="2"/>
      <c r="E15" s="2"/>
      <c r="F15" s="2"/>
      <c r="G15" s="2"/>
    </row>
    <row r="16" spans="1:7">
      <c r="B16" s="2"/>
      <c r="C16" s="2"/>
      <c r="D16" s="2"/>
      <c r="E16" s="2"/>
      <c r="F16" s="2"/>
      <c r="G16" s="2"/>
    </row>
    <row r="17" spans="2:7">
      <c r="B17" s="2"/>
      <c r="C17" s="2"/>
      <c r="D17" s="2"/>
      <c r="E17" s="2"/>
      <c r="F17" s="2"/>
      <c r="G17" s="2"/>
    </row>
    <row r="18" spans="2:7">
      <c r="B18" s="2"/>
      <c r="C18" s="2"/>
      <c r="D18" s="2"/>
      <c r="E18" s="2"/>
      <c r="F18" s="2"/>
      <c r="G18" s="2"/>
    </row>
    <row r="20" spans="2:7">
      <c r="B20" s="2"/>
      <c r="C20" s="2"/>
      <c r="D20" s="2"/>
      <c r="E20" s="2"/>
      <c r="F20" s="2"/>
      <c r="G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12D3-545A-164E-8D12-C40827F22881}">
  <dimension ref="A1:R37"/>
  <sheetViews>
    <sheetView workbookViewId="0">
      <selection sqref="A1:XFD1048576"/>
    </sheetView>
  </sheetViews>
  <sheetFormatPr baseColWidth="10" defaultRowHeight="16"/>
  <cols>
    <col min="1" max="1" width="16.33203125" style="3" bestFit="1" customWidth="1"/>
    <col min="2" max="2" width="12.1640625" style="3" bestFit="1" customWidth="1"/>
    <col min="3" max="3" width="11.1640625" style="3" bestFit="1" customWidth="1"/>
    <col min="4" max="4" width="11.1640625" style="3" customWidth="1"/>
    <col min="5" max="6" width="10.83203125" style="3"/>
    <col min="7" max="7" width="11.1640625" style="3" bestFit="1" customWidth="1"/>
    <col min="8" max="11" width="10.83203125" style="3"/>
    <col min="12" max="12" width="12.6640625" style="3" bestFit="1" customWidth="1"/>
    <col min="13" max="16384" width="10.83203125" style="3"/>
  </cols>
  <sheetData>
    <row r="1" spans="1:18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K1" s="10"/>
      <c r="L1" s="5"/>
      <c r="M1" s="6"/>
      <c r="N1" s="7"/>
      <c r="O1" s="7"/>
      <c r="P1" s="5"/>
      <c r="Q1" s="5"/>
      <c r="R1" s="5"/>
    </row>
    <row r="2" spans="1:18">
      <c r="A2" s="3" t="s">
        <v>2</v>
      </c>
      <c r="B2" s="3">
        <v>12460502</v>
      </c>
      <c r="C2" s="3">
        <v>12420658</v>
      </c>
      <c r="D2" s="3">
        <v>12585492</v>
      </c>
      <c r="E2" s="5">
        <v>12504883</v>
      </c>
      <c r="F2" s="5">
        <v>12572487</v>
      </c>
      <c r="G2" s="5">
        <v>12469597</v>
      </c>
      <c r="K2" s="10"/>
      <c r="L2" s="5"/>
      <c r="M2" s="6"/>
      <c r="N2" s="7"/>
      <c r="O2" s="7"/>
      <c r="P2" s="5"/>
      <c r="Q2" s="5"/>
      <c r="R2" s="5"/>
    </row>
    <row r="3" spans="1:18">
      <c r="A3" s="3" t="s">
        <v>19</v>
      </c>
      <c r="B3" s="3">
        <v>12856947</v>
      </c>
      <c r="C3" s="3">
        <v>12649448</v>
      </c>
      <c r="D3" s="5">
        <v>12232465</v>
      </c>
      <c r="E3" s="5">
        <v>12513379</v>
      </c>
      <c r="F3" s="5">
        <v>12251982</v>
      </c>
      <c r="G3" s="5">
        <v>12010455</v>
      </c>
      <c r="K3" s="10"/>
      <c r="L3" s="5"/>
      <c r="M3" s="6"/>
      <c r="N3" s="7"/>
      <c r="O3" s="7"/>
      <c r="P3" s="5"/>
      <c r="Q3" s="5"/>
      <c r="R3" s="5"/>
    </row>
    <row r="4" spans="1:18">
      <c r="A4" s="3" t="s">
        <v>20</v>
      </c>
      <c r="B4" s="3">
        <v>11560176</v>
      </c>
      <c r="C4" s="3">
        <v>11609053</v>
      </c>
      <c r="D4" s="5">
        <v>10074122</v>
      </c>
      <c r="E4" s="5">
        <v>11459555</v>
      </c>
      <c r="F4" s="5">
        <v>11322608</v>
      </c>
      <c r="G4" s="5">
        <v>11182773</v>
      </c>
      <c r="K4" s="10"/>
      <c r="L4" s="5"/>
      <c r="M4" s="6"/>
      <c r="N4" s="7"/>
      <c r="O4" s="7"/>
      <c r="P4" s="5"/>
      <c r="Q4" s="5"/>
      <c r="R4" s="5"/>
    </row>
    <row r="5" spans="1:18">
      <c r="A5" s="3" t="s">
        <v>12</v>
      </c>
      <c r="B5" s="3">
        <v>135548</v>
      </c>
      <c r="C5" s="3">
        <v>135548</v>
      </c>
      <c r="D5" s="5">
        <v>132915</v>
      </c>
      <c r="E5" s="5">
        <v>109447</v>
      </c>
      <c r="F5" s="5">
        <v>108894</v>
      </c>
      <c r="G5" s="5">
        <v>107894</v>
      </c>
      <c r="K5" s="10"/>
      <c r="L5" s="5"/>
      <c r="M5" s="6"/>
      <c r="N5" s="7"/>
      <c r="O5" s="7"/>
      <c r="P5" s="5"/>
      <c r="Q5" s="5"/>
      <c r="R5" s="5"/>
    </row>
    <row r="6" spans="1:18">
      <c r="A6" s="3" t="s">
        <v>21</v>
      </c>
      <c r="B6" s="3">
        <v>35424</v>
      </c>
      <c r="C6" s="3">
        <v>35309</v>
      </c>
      <c r="D6" s="5">
        <v>32243</v>
      </c>
      <c r="E6" s="5">
        <v>33888</v>
      </c>
      <c r="F6" s="5">
        <v>32869</v>
      </c>
      <c r="G6" s="5">
        <v>32821</v>
      </c>
      <c r="L6" s="7"/>
      <c r="M6" s="2"/>
      <c r="N6" s="5"/>
      <c r="O6" s="5"/>
      <c r="P6" s="5"/>
      <c r="R6" s="5"/>
    </row>
    <row r="7" spans="1:18">
      <c r="A7" s="3" t="s">
        <v>22</v>
      </c>
      <c r="B7" s="3">
        <v>366648</v>
      </c>
      <c r="C7" s="3">
        <v>368089</v>
      </c>
      <c r="D7" s="5">
        <v>360875</v>
      </c>
      <c r="E7" s="5">
        <v>341281</v>
      </c>
      <c r="F7" s="5">
        <v>343260</v>
      </c>
      <c r="G7" s="3" t="s">
        <v>23</v>
      </c>
      <c r="J7" s="4"/>
    </row>
    <row r="8" spans="1:18">
      <c r="A8" s="3" t="s">
        <v>6</v>
      </c>
      <c r="B8" s="3">
        <f>B2</f>
        <v>12460502</v>
      </c>
      <c r="C8" s="3">
        <f t="shared" ref="C8:G8" si="0">C2</f>
        <v>12420658</v>
      </c>
      <c r="D8" s="3">
        <f t="shared" si="0"/>
        <v>12585492</v>
      </c>
      <c r="E8" s="3">
        <f t="shared" si="0"/>
        <v>12504883</v>
      </c>
      <c r="F8" s="3">
        <f t="shared" si="0"/>
        <v>12572487</v>
      </c>
      <c r="G8" s="3">
        <f t="shared" si="0"/>
        <v>12469597</v>
      </c>
    </row>
    <row r="9" spans="1:18">
      <c r="A9" s="3" t="s">
        <v>7</v>
      </c>
      <c r="B9" s="3">
        <f>B4</f>
        <v>11560176</v>
      </c>
      <c r="C9" s="3">
        <f t="shared" ref="C9:G9" si="1">C4</f>
        <v>11609053</v>
      </c>
      <c r="D9" s="3">
        <f t="shared" si="1"/>
        <v>10074122</v>
      </c>
      <c r="E9" s="3">
        <f t="shared" si="1"/>
        <v>11459555</v>
      </c>
      <c r="F9" s="3">
        <f t="shared" si="1"/>
        <v>11322608</v>
      </c>
      <c r="G9" s="3">
        <f t="shared" si="1"/>
        <v>11182773</v>
      </c>
    </row>
    <row r="10" spans="1:18">
      <c r="A10" s="3" t="s">
        <v>8</v>
      </c>
      <c r="B10" s="3">
        <f>B9/B8</f>
        <v>0.92774560768097469</v>
      </c>
      <c r="C10" s="3">
        <f t="shared" ref="C10:G10" si="2">C9/C8</f>
        <v>0.93465684346191646</v>
      </c>
      <c r="D10" s="3">
        <f t="shared" si="2"/>
        <v>0.80045515900371633</v>
      </c>
      <c r="E10" s="3">
        <f t="shared" si="2"/>
        <v>0.9164064149980452</v>
      </c>
      <c r="F10" s="3">
        <f t="shared" si="2"/>
        <v>0.90058617678427511</v>
      </c>
      <c r="G10" s="3">
        <f t="shared" si="2"/>
        <v>0.89680308032408751</v>
      </c>
    </row>
    <row r="11" spans="1:18">
      <c r="A11" s="3" t="s">
        <v>4</v>
      </c>
    </row>
    <row r="12" spans="1:18">
      <c r="A12" s="3" t="s">
        <v>2</v>
      </c>
      <c r="B12" s="5">
        <v>16316</v>
      </c>
      <c r="C12" s="5">
        <v>16387</v>
      </c>
      <c r="D12" s="5">
        <v>15844</v>
      </c>
      <c r="E12" s="5">
        <v>14452</v>
      </c>
      <c r="F12" s="5">
        <v>15302</v>
      </c>
      <c r="G12" s="5">
        <v>15411</v>
      </c>
    </row>
    <row r="13" spans="1:18">
      <c r="A13" s="3" t="s">
        <v>24</v>
      </c>
      <c r="B13" s="5">
        <v>10086</v>
      </c>
      <c r="C13" s="5">
        <v>10768</v>
      </c>
      <c r="D13" s="5">
        <v>10848</v>
      </c>
      <c r="E13" s="5">
        <v>10559</v>
      </c>
      <c r="F13" s="5">
        <v>10830</v>
      </c>
      <c r="G13" s="5">
        <v>10816</v>
      </c>
    </row>
    <row r="14" spans="1:18">
      <c r="A14" s="3" t="s">
        <v>25</v>
      </c>
      <c r="B14" s="5">
        <v>17759</v>
      </c>
      <c r="C14" s="5">
        <v>18469</v>
      </c>
      <c r="D14" s="5">
        <v>18481</v>
      </c>
      <c r="E14" s="5">
        <v>18271</v>
      </c>
      <c r="F14" s="5">
        <v>18488</v>
      </c>
      <c r="G14" s="5">
        <v>18271</v>
      </c>
    </row>
    <row r="15" spans="1:18">
      <c r="A15" s="3" t="s">
        <v>9</v>
      </c>
      <c r="B15" s="5">
        <f>B12</f>
        <v>16316</v>
      </c>
      <c r="C15" s="5">
        <f t="shared" ref="C15:G15" si="3">C12</f>
        <v>16387</v>
      </c>
      <c r="D15" s="5">
        <f t="shared" si="3"/>
        <v>15844</v>
      </c>
      <c r="E15" s="5">
        <f t="shared" si="3"/>
        <v>14452</v>
      </c>
      <c r="F15" s="5">
        <f t="shared" si="3"/>
        <v>15302</v>
      </c>
      <c r="G15" s="5">
        <f t="shared" si="3"/>
        <v>15411</v>
      </c>
    </row>
    <row r="16" spans="1:18">
      <c r="A16" s="3" t="s">
        <v>10</v>
      </c>
      <c r="B16" s="5">
        <f>B14</f>
        <v>17759</v>
      </c>
      <c r="C16" s="5">
        <f t="shared" ref="C16:G16" si="4">C14</f>
        <v>18469</v>
      </c>
      <c r="D16" s="5">
        <f t="shared" si="4"/>
        <v>18481</v>
      </c>
      <c r="E16" s="5">
        <f t="shared" si="4"/>
        <v>18271</v>
      </c>
      <c r="F16" s="5">
        <f t="shared" si="4"/>
        <v>18488</v>
      </c>
      <c r="G16" s="5">
        <f t="shared" si="4"/>
        <v>18271</v>
      </c>
    </row>
    <row r="17" spans="1:7">
      <c r="A17" s="3" t="s">
        <v>11</v>
      </c>
      <c r="B17" s="3">
        <f>B16/B15</f>
        <v>1.0884407943123315</v>
      </c>
      <c r="C17" s="3">
        <f t="shared" ref="C17:G17" si="5">C16/C15</f>
        <v>1.1270519314090437</v>
      </c>
      <c r="D17" s="3">
        <f t="shared" si="5"/>
        <v>1.1664352436253471</v>
      </c>
      <c r="E17" s="3">
        <f t="shared" si="5"/>
        <v>1.2642540824799335</v>
      </c>
      <c r="F17" s="3">
        <f t="shared" si="5"/>
        <v>1.2082080773755064</v>
      </c>
      <c r="G17" s="3">
        <f t="shared" si="5"/>
        <v>1.1855817273376159</v>
      </c>
    </row>
    <row r="18" spans="1:7">
      <c r="A18" s="3" t="s">
        <v>4</v>
      </c>
    </row>
    <row r="19" spans="1:7">
      <c r="A19" s="8" t="s">
        <v>2</v>
      </c>
      <c r="B19" s="9">
        <v>0.2722</v>
      </c>
      <c r="C19" s="3">
        <v>0.27405525899981181</v>
      </c>
      <c r="D19" s="3">
        <v>0.27110779606224833</v>
      </c>
      <c r="E19" s="3">
        <v>0.26869974035357252</v>
      </c>
      <c r="F19" s="3">
        <v>0.27110000000000001</v>
      </c>
      <c r="G19" s="3">
        <v>55514016</v>
      </c>
    </row>
    <row r="20" spans="1:7">
      <c r="A20" s="8" t="s">
        <v>26</v>
      </c>
      <c r="B20" s="9">
        <v>6.4799999999999996E-2</v>
      </c>
      <c r="C20" s="3">
        <v>6.8336662105832627E-2</v>
      </c>
      <c r="D20" s="3">
        <v>6.9316887785596221E-2</v>
      </c>
      <c r="E20" s="3">
        <v>6.9495221075965521E-2</v>
      </c>
      <c r="F20" s="3">
        <v>6.9000000000000006E-2</v>
      </c>
      <c r="G20" s="3">
        <v>16413578</v>
      </c>
    </row>
    <row r="21" spans="1:7">
      <c r="A21" s="8" t="s">
        <v>27</v>
      </c>
      <c r="B21" s="9">
        <v>0.51549999999999996</v>
      </c>
      <c r="C21" s="3">
        <v>0.51545288796472599</v>
      </c>
      <c r="D21" s="3">
        <v>0.51579765361792218</v>
      </c>
      <c r="E21" s="3">
        <v>0.51460389991465083</v>
      </c>
      <c r="F21" s="3">
        <v>0.52059999999999995</v>
      </c>
      <c r="G21" s="3">
        <v>123487858</v>
      </c>
    </row>
    <row r="22" spans="1:7">
      <c r="A22" s="8" t="s">
        <v>28</v>
      </c>
      <c r="B22" s="9">
        <v>0.1434</v>
      </c>
      <c r="C22" s="3">
        <v>0.13842495552028053</v>
      </c>
      <c r="D22" s="3">
        <v>0.13958079186690756</v>
      </c>
      <c r="E22" s="3">
        <v>0.14306296139231284</v>
      </c>
      <c r="F22" s="3">
        <v>0.13519999999999999</v>
      </c>
      <c r="G22" s="3">
        <v>33579363</v>
      </c>
    </row>
    <row r="23" spans="1:7">
      <c r="A23" s="8" t="s">
        <v>29</v>
      </c>
      <c r="B23" s="9">
        <v>1.2999999999999999E-3</v>
      </c>
      <c r="C23" s="3">
        <v>1.2506003417502925E-3</v>
      </c>
      <c r="D23" s="3">
        <v>1.3232651996882053E-3</v>
      </c>
      <c r="E23" s="3">
        <v>1.3196041129911527E-3</v>
      </c>
      <c r="F23" s="3">
        <v>1.2999999999999999E-3</v>
      </c>
      <c r="G23" s="3">
        <v>355474</v>
      </c>
    </row>
    <row r="24" spans="1:7">
      <c r="A24" s="8" t="s">
        <v>30</v>
      </c>
      <c r="B24" s="9">
        <v>2.8999999999999998E-3</v>
      </c>
      <c r="C24" s="3">
        <v>2.4796350675987027E-3</v>
      </c>
      <c r="D24" s="3">
        <v>2.8736054676374782E-3</v>
      </c>
      <c r="E24" s="3">
        <v>2.8185731505071935E-3</v>
      </c>
      <c r="F24" s="3">
        <v>2.8E-3</v>
      </c>
      <c r="G24" s="3">
        <v>673055</v>
      </c>
    </row>
    <row r="25" spans="1:7">
      <c r="A25" s="9" t="s">
        <v>31</v>
      </c>
      <c r="B25" s="3">
        <f>B19</f>
        <v>0.2722</v>
      </c>
      <c r="C25" s="3">
        <f t="shared" ref="C25:G25" si="6">C19</f>
        <v>0.27405525899981181</v>
      </c>
      <c r="D25" s="3">
        <f t="shared" si="6"/>
        <v>0.27110779606224833</v>
      </c>
      <c r="E25" s="3">
        <f t="shared" si="6"/>
        <v>0.26869974035357252</v>
      </c>
      <c r="F25" s="3">
        <f t="shared" si="6"/>
        <v>0.27110000000000001</v>
      </c>
      <c r="G25" s="3">
        <f t="shared" si="6"/>
        <v>55514016</v>
      </c>
    </row>
    <row r="26" spans="1:7">
      <c r="A26" s="9" t="s">
        <v>32</v>
      </c>
      <c r="B26" s="3">
        <f>B21+B22</f>
        <v>0.65889999999999993</v>
      </c>
      <c r="C26" s="3">
        <f t="shared" ref="C26:G26" si="7">C21+C22</f>
        <v>0.65387784348500655</v>
      </c>
      <c r="D26" s="3">
        <f t="shared" si="7"/>
        <v>0.65537844548482971</v>
      </c>
      <c r="E26" s="3">
        <f t="shared" si="7"/>
        <v>0.65766686130696361</v>
      </c>
      <c r="F26" s="3">
        <f t="shared" si="7"/>
        <v>0.65579999999999994</v>
      </c>
      <c r="G26" s="3">
        <f t="shared" si="7"/>
        <v>157067221</v>
      </c>
    </row>
    <row r="27" spans="1:7">
      <c r="A27" s="9" t="s">
        <v>33</v>
      </c>
      <c r="B27" s="3">
        <f>B26/B25</f>
        <v>2.4206465833945625</v>
      </c>
      <c r="C27" s="3">
        <f t="shared" ref="C27:G27" si="8">C26/C25</f>
        <v>2.3859343034371601</v>
      </c>
      <c r="D27" s="3">
        <f t="shared" si="8"/>
        <v>2.4174090712402458</v>
      </c>
      <c r="E27" s="3">
        <f t="shared" si="8"/>
        <v>2.4475902374954397</v>
      </c>
      <c r="F27" s="3">
        <f t="shared" si="8"/>
        <v>2.4190335669494649</v>
      </c>
      <c r="G27" s="3">
        <f t="shared" si="8"/>
        <v>2.8293254986272296</v>
      </c>
    </row>
    <row r="28" spans="1:7">
      <c r="A28" s="9" t="s">
        <v>4</v>
      </c>
    </row>
    <row r="29" spans="1:7">
      <c r="A29" s="9" t="s">
        <v>2</v>
      </c>
      <c r="B29" s="2">
        <v>0.37119999999999997</v>
      </c>
      <c r="C29" s="5">
        <v>587678646</v>
      </c>
      <c r="D29" s="2">
        <v>0.36070000000000002</v>
      </c>
      <c r="E29" s="2">
        <v>0.36620000000000003</v>
      </c>
      <c r="F29" s="2">
        <v>0.35770000000000002</v>
      </c>
      <c r="G29" s="5">
        <v>608763769</v>
      </c>
    </row>
    <row r="30" spans="1:7">
      <c r="A30" s="9" t="s">
        <v>34</v>
      </c>
      <c r="B30" s="2">
        <v>0.37009999999999998</v>
      </c>
      <c r="C30" s="5">
        <v>754414635</v>
      </c>
      <c r="D30" s="2">
        <v>0.38550000000000001</v>
      </c>
      <c r="E30" s="2">
        <v>0.39069999999999999</v>
      </c>
      <c r="F30" s="2">
        <v>0.39269999999999999</v>
      </c>
      <c r="G30" s="5">
        <v>748437453</v>
      </c>
    </row>
    <row r="31" spans="1:7">
      <c r="A31" s="9" t="s">
        <v>35</v>
      </c>
      <c r="B31" s="2">
        <v>0.25290000000000001</v>
      </c>
      <c r="C31" s="5">
        <v>541000862</v>
      </c>
      <c r="D31" s="2">
        <v>0.24890000000000001</v>
      </c>
      <c r="E31" s="2">
        <v>0.24829999999999999</v>
      </c>
      <c r="F31" s="2">
        <v>0.24490000000000001</v>
      </c>
      <c r="G31" s="5">
        <v>466436739</v>
      </c>
    </row>
    <row r="32" spans="1:7">
      <c r="A32" s="9" t="s">
        <v>12</v>
      </c>
      <c r="B32" s="2">
        <v>5.7999999999999996E-3</v>
      </c>
      <c r="C32" s="5">
        <v>14333993</v>
      </c>
      <c r="D32" s="2">
        <v>4.8999999999999998E-3</v>
      </c>
      <c r="E32" s="2">
        <v>4.7000000000000002E-3</v>
      </c>
      <c r="F32" s="2">
        <v>4.5999999999999999E-3</v>
      </c>
      <c r="G32" s="5">
        <v>9311361</v>
      </c>
    </row>
    <row r="33" spans="1:7">
      <c r="A33" s="9" t="s">
        <v>36</v>
      </c>
      <c r="B33" s="2">
        <f>B29</f>
        <v>0.37119999999999997</v>
      </c>
      <c r="C33" s="2">
        <f t="shared" ref="C33:G33" si="9">C29</f>
        <v>587678646</v>
      </c>
      <c r="D33" s="2">
        <f t="shared" si="9"/>
        <v>0.36070000000000002</v>
      </c>
      <c r="E33" s="2">
        <f t="shared" si="9"/>
        <v>0.36620000000000003</v>
      </c>
      <c r="F33" s="2">
        <f t="shared" si="9"/>
        <v>0.35770000000000002</v>
      </c>
      <c r="G33" s="2">
        <f t="shared" si="9"/>
        <v>608763769</v>
      </c>
    </row>
    <row r="34" spans="1:7">
      <c r="A34" s="9" t="s">
        <v>37</v>
      </c>
      <c r="B34" s="2">
        <f>B31</f>
        <v>0.25290000000000001</v>
      </c>
      <c r="C34" s="2">
        <f t="shared" ref="C34:G34" si="10">C31</f>
        <v>541000862</v>
      </c>
      <c r="D34" s="2">
        <f t="shared" si="10"/>
        <v>0.24890000000000001</v>
      </c>
      <c r="E34" s="2">
        <f t="shared" si="10"/>
        <v>0.24829999999999999</v>
      </c>
      <c r="F34" s="2">
        <f t="shared" si="10"/>
        <v>0.24490000000000001</v>
      </c>
      <c r="G34" s="2">
        <f t="shared" si="10"/>
        <v>466436739</v>
      </c>
    </row>
    <row r="35" spans="1:7">
      <c r="A35" s="9" t="s">
        <v>38</v>
      </c>
      <c r="B35" s="3">
        <f>B34/B33</f>
        <v>0.68130387931034486</v>
      </c>
      <c r="C35" s="3">
        <f t="shared" ref="C35:G35" si="11">C34/C33</f>
        <v>0.92057260491305992</v>
      </c>
      <c r="D35" s="3">
        <f t="shared" si="11"/>
        <v>0.6900471305794289</v>
      </c>
      <c r="E35" s="3">
        <f t="shared" si="11"/>
        <v>0.67804478427089021</v>
      </c>
      <c r="F35" s="3">
        <f t="shared" si="11"/>
        <v>0.68465194296896836</v>
      </c>
      <c r="G35" s="3">
        <f t="shared" si="11"/>
        <v>0.76620318545928445</v>
      </c>
    </row>
    <row r="36" spans="1:7">
      <c r="A36" s="9" t="s">
        <v>4</v>
      </c>
    </row>
    <row r="37" spans="1:7">
      <c r="A37" s="9" t="s">
        <v>1</v>
      </c>
      <c r="B37" s="3">
        <f>1/4*(B10+B17+B27+B35)</f>
        <v>1.2795342161745535</v>
      </c>
      <c r="C37" s="3">
        <f t="shared" ref="C37:G37" si="12">1/4*(C10+C17+C27+C35)</f>
        <v>1.3420539208052951</v>
      </c>
      <c r="D37" s="3">
        <f t="shared" si="12"/>
        <v>1.2685866511121846</v>
      </c>
      <c r="E37" s="3">
        <f t="shared" si="12"/>
        <v>1.3265738798110771</v>
      </c>
      <c r="F37" s="3">
        <f t="shared" si="12"/>
        <v>1.3031199410195538</v>
      </c>
      <c r="G37" s="3">
        <f t="shared" si="12"/>
        <v>1.4194783729370544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D968-8BD6-764C-A004-740554446444}">
  <dimension ref="A1:Q33"/>
  <sheetViews>
    <sheetView workbookViewId="0">
      <selection activeCell="B1" sqref="B1:G1"/>
    </sheetView>
  </sheetViews>
  <sheetFormatPr baseColWidth="10" defaultRowHeight="16"/>
  <cols>
    <col min="1" max="1" width="16.33203125" style="3" bestFit="1" customWidth="1"/>
    <col min="2" max="2" width="12.1640625" style="3" bestFit="1" customWidth="1"/>
    <col min="3" max="3" width="11.1640625" style="3" bestFit="1" customWidth="1"/>
    <col min="4" max="4" width="11.1640625" style="3" customWidth="1"/>
    <col min="5" max="6" width="10.83203125" style="3"/>
    <col min="7" max="7" width="11.1640625" style="3" bestFit="1" customWidth="1"/>
    <col min="8" max="10" width="10.83203125" style="3"/>
    <col min="11" max="11" width="12.6640625" style="3" bestFit="1" customWidth="1"/>
    <col min="12" max="16384" width="10.83203125" style="3"/>
  </cols>
  <sheetData>
    <row r="1" spans="1:17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K1" s="5"/>
      <c r="L1" s="6"/>
      <c r="M1" s="7"/>
      <c r="N1" s="7"/>
      <c r="O1" s="5"/>
      <c r="P1" s="5"/>
      <c r="Q1" s="5"/>
    </row>
    <row r="2" spans="1:17">
      <c r="A2" s="3" t="s">
        <v>2</v>
      </c>
      <c r="B2" s="2">
        <v>0.42259999999999998</v>
      </c>
      <c r="C2" s="2">
        <v>0.42480000000000001</v>
      </c>
      <c r="D2" s="2">
        <v>0.42480000000000001</v>
      </c>
      <c r="E2" s="2">
        <v>0.42480000000000001</v>
      </c>
      <c r="F2" s="2">
        <v>0.42480000000000001</v>
      </c>
      <c r="G2" s="2">
        <v>0.44</v>
      </c>
      <c r="K2" s="5"/>
      <c r="L2" s="6"/>
      <c r="M2" s="7"/>
      <c r="N2" s="7"/>
      <c r="O2" s="5"/>
      <c r="P2" s="5"/>
      <c r="Q2" s="5"/>
    </row>
    <row r="3" spans="1:17">
      <c r="A3" s="3" t="s">
        <v>39</v>
      </c>
      <c r="B3" s="2">
        <v>0.13519999999999999</v>
      </c>
      <c r="C3" s="2">
        <v>0.14099999999999999</v>
      </c>
      <c r="D3" s="2">
        <v>0.14099999999999999</v>
      </c>
      <c r="E3" s="2">
        <v>0.14099999999999999</v>
      </c>
      <c r="F3" s="2">
        <v>0.14099999999999999</v>
      </c>
      <c r="G3" s="2">
        <v>0.1439</v>
      </c>
      <c r="K3" s="5"/>
      <c r="L3" s="6"/>
      <c r="M3" s="7"/>
      <c r="N3" s="7"/>
      <c r="O3" s="5"/>
      <c r="P3" s="5"/>
      <c r="Q3" s="5"/>
    </row>
    <row r="4" spans="1:17">
      <c r="A4" s="3" t="s">
        <v>40</v>
      </c>
      <c r="B4" s="2">
        <v>0.1101</v>
      </c>
      <c r="C4" s="2">
        <v>0.1762</v>
      </c>
      <c r="D4" s="2">
        <v>0.1762</v>
      </c>
      <c r="E4" s="2">
        <v>0.1762</v>
      </c>
      <c r="F4" s="2">
        <v>0.1762</v>
      </c>
      <c r="G4" s="2">
        <v>0.1731</v>
      </c>
      <c r="K4" s="5"/>
      <c r="L4" s="6"/>
      <c r="M4" s="7"/>
      <c r="N4" s="7"/>
      <c r="O4" s="5"/>
      <c r="P4" s="5"/>
      <c r="Q4" s="5"/>
    </row>
    <row r="5" spans="1:17">
      <c r="A5" s="3" t="s">
        <v>41</v>
      </c>
      <c r="B5" s="2">
        <v>0.32979999999999998</v>
      </c>
      <c r="C5" s="2">
        <v>0.25390000000000001</v>
      </c>
      <c r="D5" s="2">
        <v>0.25390000000000001</v>
      </c>
      <c r="E5" s="2">
        <v>0.25390000000000001</v>
      </c>
      <c r="F5" s="2">
        <v>0.25390000000000001</v>
      </c>
      <c r="G5" s="2">
        <v>0.24060000000000001</v>
      </c>
      <c r="K5" s="5"/>
      <c r="L5" s="6"/>
      <c r="M5" s="7"/>
      <c r="N5" s="7"/>
      <c r="O5" s="5"/>
      <c r="P5" s="5"/>
      <c r="Q5" s="5"/>
    </row>
    <row r="6" spans="1:17">
      <c r="A6" s="3" t="s">
        <v>12</v>
      </c>
      <c r="B6" s="2">
        <v>2.3E-3</v>
      </c>
      <c r="C6" s="2">
        <v>4.1000000000000003E-3</v>
      </c>
      <c r="D6" s="2">
        <v>4.1000000000000003E-3</v>
      </c>
      <c r="E6" s="2">
        <v>4.1000000000000003E-3</v>
      </c>
      <c r="F6" s="2">
        <v>4.1000000000000003E-3</v>
      </c>
      <c r="G6" s="2">
        <v>2.3999999999999998E-3</v>
      </c>
      <c r="K6" s="7"/>
      <c r="L6" s="2"/>
      <c r="M6" s="5"/>
      <c r="N6" s="5"/>
      <c r="O6" s="5"/>
      <c r="Q6" s="5"/>
    </row>
    <row r="7" spans="1:17">
      <c r="A7" s="3" t="s">
        <v>6</v>
      </c>
      <c r="B7" s="2">
        <f>B2</f>
        <v>0.42259999999999998</v>
      </c>
      <c r="C7" s="2">
        <f t="shared" ref="C7:G7" si="0">C2</f>
        <v>0.42480000000000001</v>
      </c>
      <c r="D7" s="2">
        <f t="shared" si="0"/>
        <v>0.42480000000000001</v>
      </c>
      <c r="E7" s="2">
        <f t="shared" si="0"/>
        <v>0.42480000000000001</v>
      </c>
      <c r="F7" s="2">
        <f t="shared" si="0"/>
        <v>0.42480000000000001</v>
      </c>
      <c r="G7" s="2">
        <f t="shared" si="0"/>
        <v>0.44</v>
      </c>
      <c r="J7" s="4"/>
    </row>
    <row r="8" spans="1:17">
      <c r="A8" s="3" t="s">
        <v>7</v>
      </c>
      <c r="B8" s="2">
        <f>B4+B5</f>
        <v>0.43989999999999996</v>
      </c>
      <c r="C8" s="2">
        <f t="shared" ref="C8:G8" si="1">C4+C5</f>
        <v>0.43010000000000004</v>
      </c>
      <c r="D8" s="2">
        <f t="shared" si="1"/>
        <v>0.43010000000000004</v>
      </c>
      <c r="E8" s="2">
        <f t="shared" si="1"/>
        <v>0.43010000000000004</v>
      </c>
      <c r="F8" s="2">
        <f t="shared" si="1"/>
        <v>0.43010000000000004</v>
      </c>
      <c r="G8" s="2">
        <f t="shared" si="1"/>
        <v>0.41370000000000001</v>
      </c>
    </row>
    <row r="9" spans="1:17">
      <c r="A9" s="3" t="s">
        <v>8</v>
      </c>
      <c r="B9" s="3">
        <f>B8/B7</f>
        <v>1.0409370563180311</v>
      </c>
      <c r="C9" s="3">
        <f t="shared" ref="C9:G9" si="2">C8/C7</f>
        <v>1.0124764595103579</v>
      </c>
      <c r="D9" s="3">
        <f t="shared" si="2"/>
        <v>1.0124764595103579</v>
      </c>
      <c r="E9" s="3">
        <f t="shared" si="2"/>
        <v>1.0124764595103579</v>
      </c>
      <c r="F9" s="3">
        <f t="shared" si="2"/>
        <v>1.0124764595103579</v>
      </c>
      <c r="G9" s="3">
        <f t="shared" si="2"/>
        <v>0.9402272727272728</v>
      </c>
    </row>
    <row r="10" spans="1:17">
      <c r="A10" s="3" t="s">
        <v>5</v>
      </c>
      <c r="I10" s="1"/>
      <c r="J10" s="1"/>
      <c r="K10" s="1"/>
      <c r="L10" s="1"/>
    </row>
    <row r="11" spans="1:17">
      <c r="A11" t="s">
        <v>42</v>
      </c>
      <c r="B11" s="2">
        <v>0.36726999999999999</v>
      </c>
      <c r="C11" s="2">
        <v>0.42114000000000001</v>
      </c>
      <c r="D11" s="2">
        <v>0.42114000000000001</v>
      </c>
      <c r="E11" s="2">
        <v>0.42114000000000001</v>
      </c>
      <c r="F11" s="2">
        <v>0.42114000000000001</v>
      </c>
      <c r="G11" s="2">
        <v>0.42114000000000001</v>
      </c>
      <c r="I11"/>
      <c r="J11"/>
      <c r="K11" s="2"/>
      <c r="L11" s="2"/>
    </row>
    <row r="12" spans="1:17">
      <c r="A12" t="s">
        <v>43</v>
      </c>
      <c r="B12" s="2">
        <v>5.2060000000000002E-2</v>
      </c>
      <c r="C12" s="2">
        <v>5.169E-2</v>
      </c>
      <c r="D12" s="2">
        <v>5.169E-2</v>
      </c>
      <c r="E12" s="2">
        <v>5.169E-2</v>
      </c>
      <c r="F12" s="2">
        <v>5.169E-2</v>
      </c>
      <c r="G12" s="2">
        <v>5.169E-2</v>
      </c>
      <c r="I12"/>
      <c r="J12"/>
      <c r="K12" s="2"/>
      <c r="L12" s="2"/>
    </row>
    <row r="13" spans="1:17">
      <c r="A13" t="s">
        <v>52</v>
      </c>
      <c r="B13" s="2">
        <v>0.14582999999999999</v>
      </c>
      <c r="C13" s="2">
        <v>0.20721999999999999</v>
      </c>
      <c r="D13" s="2">
        <v>0.20721999999999999</v>
      </c>
      <c r="E13" s="2">
        <v>0.20721999999999999</v>
      </c>
      <c r="F13" s="2">
        <v>0.20721999999999999</v>
      </c>
      <c r="G13" s="2">
        <v>0.20721999999999999</v>
      </c>
      <c r="I13"/>
      <c r="J13"/>
      <c r="K13" s="2"/>
      <c r="L13" s="2"/>
    </row>
    <row r="14" spans="1:17">
      <c r="A14" t="s">
        <v>44</v>
      </c>
      <c r="B14" s="2">
        <v>0.41993999999999998</v>
      </c>
      <c r="C14" s="2">
        <v>0.30774000000000001</v>
      </c>
      <c r="D14" s="2">
        <v>0.30774000000000001</v>
      </c>
      <c r="E14" s="2">
        <v>0.30774000000000001</v>
      </c>
      <c r="F14" s="2">
        <v>0.30774000000000001</v>
      </c>
      <c r="G14" s="2">
        <v>0.30774000000000001</v>
      </c>
      <c r="I14"/>
      <c r="J14"/>
      <c r="K14" s="2"/>
      <c r="L14" s="2"/>
    </row>
    <row r="15" spans="1:17">
      <c r="A15" t="s">
        <v>45</v>
      </c>
      <c r="B15" s="2">
        <v>2.4299999999999999E-3</v>
      </c>
      <c r="C15" s="2">
        <v>2.96E-3</v>
      </c>
      <c r="D15" s="2">
        <v>2.96E-3</v>
      </c>
      <c r="E15" s="2">
        <v>2.96E-3</v>
      </c>
      <c r="F15" s="2">
        <v>2.96E-3</v>
      </c>
      <c r="G15" s="2">
        <v>2.96E-3</v>
      </c>
      <c r="I15"/>
      <c r="J15"/>
      <c r="K15" s="2"/>
      <c r="L15" s="2"/>
    </row>
    <row r="16" spans="1:17">
      <c r="A16" t="s">
        <v>46</v>
      </c>
      <c r="B16" s="2">
        <v>4.4200000000000003E-3</v>
      </c>
      <c r="C16" s="2">
        <v>3.7200000000000002E-3</v>
      </c>
      <c r="D16" s="2">
        <v>3.7200000000000002E-3</v>
      </c>
      <c r="E16" s="2">
        <v>3.7200000000000002E-3</v>
      </c>
      <c r="F16" s="2">
        <v>3.7200000000000002E-3</v>
      </c>
      <c r="G16" s="2">
        <v>3.7200000000000002E-3</v>
      </c>
      <c r="I16"/>
      <c r="J16"/>
      <c r="K16" s="2"/>
      <c r="L16" s="2"/>
    </row>
    <row r="17" spans="1:12">
      <c r="A17" t="s">
        <v>47</v>
      </c>
      <c r="B17" s="2">
        <v>4.0000000000000001E-3</v>
      </c>
      <c r="C17" s="2">
        <v>4.15E-3</v>
      </c>
      <c r="D17" s="2">
        <v>4.15E-3</v>
      </c>
      <c r="E17" s="2">
        <v>4.15E-3</v>
      </c>
      <c r="F17" s="2">
        <v>4.15E-3</v>
      </c>
      <c r="G17" s="2">
        <v>4.15E-3</v>
      </c>
      <c r="I17"/>
      <c r="J17"/>
      <c r="K17" s="2"/>
      <c r="L17" s="2"/>
    </row>
    <row r="18" spans="1:12">
      <c r="A18" t="s">
        <v>48</v>
      </c>
      <c r="B18" s="2">
        <v>5.1000000000000004E-4</v>
      </c>
      <c r="C18" s="2">
        <v>2.3000000000000001E-4</v>
      </c>
      <c r="D18" s="2">
        <v>2.3000000000000001E-4</v>
      </c>
      <c r="E18" s="2">
        <v>2.3000000000000001E-4</v>
      </c>
      <c r="F18" s="2">
        <v>2.3000000000000001E-4</v>
      </c>
      <c r="G18" s="2">
        <v>2.3000000000000001E-4</v>
      </c>
      <c r="I18"/>
      <c r="J18"/>
      <c r="K18" s="2"/>
      <c r="L18" s="2"/>
    </row>
    <row r="19" spans="1:12">
      <c r="A19" t="s">
        <v>49</v>
      </c>
      <c r="B19" s="2">
        <v>6.9999999999999994E-5</v>
      </c>
      <c r="C19" s="2">
        <v>2.0000000000000002E-5</v>
      </c>
      <c r="D19" s="2">
        <v>2.0000000000000002E-5</v>
      </c>
      <c r="E19" s="2">
        <v>2.0000000000000002E-5</v>
      </c>
      <c r="F19" s="2">
        <v>2.0000000000000002E-5</v>
      </c>
      <c r="G19" s="2">
        <v>2.0000000000000002E-5</v>
      </c>
      <c r="I19"/>
      <c r="J19"/>
      <c r="K19" s="2"/>
      <c r="L19"/>
    </row>
    <row r="20" spans="1:12">
      <c r="A20" t="s">
        <v>50</v>
      </c>
      <c r="B20" s="2">
        <v>2.0000000000000002E-5</v>
      </c>
      <c r="C20" s="2">
        <v>1.1299999999999999E-3</v>
      </c>
      <c r="D20" s="2">
        <v>1.1299999999999999E-3</v>
      </c>
      <c r="E20" s="2">
        <v>1.1299999999999999E-3</v>
      </c>
      <c r="F20" s="2">
        <v>1.1299999999999999E-3</v>
      </c>
      <c r="G20" s="2">
        <v>1.1299999999999999E-3</v>
      </c>
      <c r="I20"/>
      <c r="J20"/>
      <c r="K20" s="2"/>
      <c r="L20"/>
    </row>
    <row r="21" spans="1:12">
      <c r="A21" t="s">
        <v>51</v>
      </c>
      <c r="B21" s="2">
        <v>4.4000000000000002E-4</v>
      </c>
      <c r="C21" s="2">
        <v>2.3000000000000001E-4</v>
      </c>
      <c r="D21" s="2">
        <v>2.3000000000000001E-4</v>
      </c>
      <c r="E21" s="2">
        <v>2.3000000000000001E-4</v>
      </c>
      <c r="F21" s="2">
        <v>2.3000000000000001E-4</v>
      </c>
      <c r="G21" s="2">
        <v>2.3000000000000001E-4</v>
      </c>
      <c r="I21"/>
      <c r="J21"/>
      <c r="K21" s="2"/>
      <c r="L21"/>
    </row>
    <row r="22" spans="1:12">
      <c r="A22" s="9" t="s">
        <v>9</v>
      </c>
      <c r="B22" s="2">
        <f>B11</f>
        <v>0.36726999999999999</v>
      </c>
      <c r="C22" s="2">
        <f t="shared" ref="C22:G22" si="3">C11</f>
        <v>0.42114000000000001</v>
      </c>
      <c r="D22" s="2">
        <f t="shared" si="3"/>
        <v>0.42114000000000001</v>
      </c>
      <c r="E22" s="2">
        <f t="shared" si="3"/>
        <v>0.42114000000000001</v>
      </c>
      <c r="F22" s="2">
        <f t="shared" si="3"/>
        <v>0.42114000000000001</v>
      </c>
      <c r="G22" s="2">
        <f t="shared" si="3"/>
        <v>0.42114000000000001</v>
      </c>
    </row>
    <row r="23" spans="1:12">
      <c r="A23" s="9" t="s">
        <v>10</v>
      </c>
      <c r="B23" s="2">
        <f>B14+B15+B16</f>
        <v>0.42678999999999995</v>
      </c>
      <c r="C23" s="2">
        <f t="shared" ref="C23:G23" si="4">C14+C15+C16</f>
        <v>0.31442000000000003</v>
      </c>
      <c r="D23" s="2">
        <f t="shared" si="4"/>
        <v>0.31442000000000003</v>
      </c>
      <c r="E23" s="2">
        <f t="shared" si="4"/>
        <v>0.31442000000000003</v>
      </c>
      <c r="F23" s="2">
        <f t="shared" si="4"/>
        <v>0.31442000000000003</v>
      </c>
      <c r="G23" s="2">
        <f t="shared" si="4"/>
        <v>0.31442000000000003</v>
      </c>
    </row>
    <row r="24" spans="1:12">
      <c r="A24" s="9" t="s">
        <v>11</v>
      </c>
      <c r="B24" s="3">
        <f>B23/B22</f>
        <v>1.1620606093609605</v>
      </c>
      <c r="C24" s="3">
        <f t="shared" ref="C24:G24" si="5">C23/C22</f>
        <v>0.74659258203922696</v>
      </c>
      <c r="D24" s="3">
        <f t="shared" si="5"/>
        <v>0.74659258203922696</v>
      </c>
      <c r="E24" s="3">
        <f t="shared" si="5"/>
        <v>0.74659258203922696</v>
      </c>
      <c r="F24" s="3">
        <f t="shared" si="5"/>
        <v>0.74659258203922696</v>
      </c>
      <c r="G24" s="3">
        <f t="shared" si="5"/>
        <v>0.74659258203922696</v>
      </c>
    </row>
    <row r="25" spans="1:12">
      <c r="A25" s="9" t="s">
        <v>5</v>
      </c>
      <c r="B25" s="2"/>
      <c r="C25" s="5"/>
      <c r="D25" s="2"/>
      <c r="E25" s="2"/>
      <c r="F25" s="2"/>
      <c r="G25" s="5"/>
    </row>
    <row r="26" spans="1:12">
      <c r="A26" s="9" t="s">
        <v>1</v>
      </c>
      <c r="B26" s="3">
        <f>(B9+B24)/2</f>
        <v>1.1014988328394959</v>
      </c>
      <c r="C26" s="3">
        <f t="shared" ref="C26:G26" si="6">(C9+C24)/2</f>
        <v>0.87953452077479244</v>
      </c>
      <c r="D26" s="3">
        <f t="shared" si="6"/>
        <v>0.87953452077479244</v>
      </c>
      <c r="E26" s="3">
        <f t="shared" si="6"/>
        <v>0.87953452077479244</v>
      </c>
      <c r="F26" s="3">
        <f t="shared" si="6"/>
        <v>0.87953452077479244</v>
      </c>
      <c r="G26" s="3">
        <f t="shared" si="6"/>
        <v>0.84340992738324982</v>
      </c>
    </row>
    <row r="27" spans="1:12">
      <c r="A27" s="9"/>
      <c r="B27" s="2"/>
      <c r="C27" s="5"/>
      <c r="D27" s="2"/>
      <c r="E27" s="2"/>
      <c r="F27" s="2"/>
      <c r="G27" s="5"/>
    </row>
    <row r="28" spans="1:12">
      <c r="A28" s="9"/>
      <c r="B28" s="2"/>
      <c r="C28" s="5"/>
      <c r="D28" s="2"/>
      <c r="E28" s="2"/>
      <c r="F28" s="2"/>
      <c r="G28" s="5"/>
    </row>
    <row r="29" spans="1:12">
      <c r="A29" s="9"/>
      <c r="B29" s="2"/>
      <c r="C29" s="2"/>
      <c r="D29" s="2"/>
      <c r="E29" s="2"/>
      <c r="F29" s="2"/>
      <c r="G29" s="2"/>
    </row>
    <row r="30" spans="1:12">
      <c r="A30" s="9"/>
      <c r="B30" s="2"/>
      <c r="C30" s="2"/>
      <c r="D30" s="2"/>
      <c r="E30" s="2"/>
      <c r="F30" s="2"/>
      <c r="G30" s="2"/>
    </row>
    <row r="31" spans="1:12">
      <c r="A31" s="9"/>
    </row>
    <row r="32" spans="1:12">
      <c r="A32" s="9"/>
    </row>
    <row r="33" spans="1:1">
      <c r="A33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F359-B332-0947-83E8-322A498A5DD8}">
  <dimension ref="A1:G33"/>
  <sheetViews>
    <sheetView tabSelected="1" workbookViewId="0">
      <selection activeCell="F23" sqref="F23"/>
    </sheetView>
  </sheetViews>
  <sheetFormatPr baseColWidth="10" defaultRowHeight="16"/>
  <cols>
    <col min="1" max="1" width="19.6640625" style="3" bestFit="1" customWidth="1"/>
    <col min="2" max="2" width="10.83203125" style="3"/>
    <col min="3" max="3" width="12.1640625" style="3" bestFit="1" customWidth="1"/>
    <col min="4" max="16384" width="10.83203125" style="3"/>
  </cols>
  <sheetData>
    <row r="1" spans="1:7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>
      <c r="A2" s="3" t="s">
        <v>2</v>
      </c>
      <c r="B2" s="3">
        <v>0.25219999999999998</v>
      </c>
      <c r="C2" s="3">
        <v>0.24610000000000001</v>
      </c>
      <c r="D2" s="3">
        <v>0.24879999999999999</v>
      </c>
      <c r="E2" s="3">
        <v>32362957</v>
      </c>
      <c r="F2" s="3">
        <v>44291213</v>
      </c>
    </row>
    <row r="3" spans="1:7">
      <c r="A3" s="3" t="s">
        <v>53</v>
      </c>
      <c r="B3" s="3">
        <v>0.16520000000000001</v>
      </c>
      <c r="C3" s="3">
        <v>0.16639999999999999</v>
      </c>
      <c r="D3" s="3">
        <v>0.1663</v>
      </c>
      <c r="E3" s="3">
        <v>15289445</v>
      </c>
      <c r="F3" s="3">
        <v>21547849</v>
      </c>
    </row>
    <row r="4" spans="1:7">
      <c r="A4" s="3" t="s">
        <v>54</v>
      </c>
      <c r="B4" s="3">
        <v>3.4700000000000002E-2</v>
      </c>
      <c r="C4" s="3">
        <v>3.3599999999999998E-2</v>
      </c>
      <c r="D4" s="3">
        <v>3.27E-2</v>
      </c>
      <c r="E4" s="3">
        <v>9767794</v>
      </c>
      <c r="F4" s="3">
        <v>13512682</v>
      </c>
    </row>
    <row r="5" spans="1:7">
      <c r="A5" s="3" t="s">
        <v>56</v>
      </c>
      <c r="B5" s="3">
        <v>8.0999999999999996E-3</v>
      </c>
      <c r="C5" s="3">
        <v>6.7999999999999996E-3</v>
      </c>
      <c r="D5" s="3">
        <v>5.4999999999999997E-3</v>
      </c>
      <c r="E5" s="3">
        <v>4741039</v>
      </c>
      <c r="F5" s="3">
        <v>6207710</v>
      </c>
    </row>
    <row r="6" spans="1:7">
      <c r="A6" s="3" t="s">
        <v>55</v>
      </c>
      <c r="B6" s="3">
        <v>9.1700000000000004E-2</v>
      </c>
      <c r="C6" s="3">
        <v>8.8300000000000003E-2</v>
      </c>
      <c r="D6" s="3">
        <v>8.4400000000000003E-2</v>
      </c>
      <c r="E6" s="3">
        <v>9640110</v>
      </c>
      <c r="F6" s="3">
        <v>12038800</v>
      </c>
    </row>
    <row r="7" spans="1:7">
      <c r="A7" s="3" t="s">
        <v>56</v>
      </c>
      <c r="B7" s="3">
        <v>3.6400000000000002E-2</v>
      </c>
      <c r="C7" s="3">
        <v>3.44E-2</v>
      </c>
      <c r="D7" s="3">
        <v>3.3799999999999997E-2</v>
      </c>
      <c r="E7" s="3">
        <v>3074739</v>
      </c>
      <c r="F7" s="3">
        <v>4133357</v>
      </c>
    </row>
    <row r="8" spans="1:7">
      <c r="A8" s="3" t="s">
        <v>57</v>
      </c>
      <c r="B8" s="3">
        <v>1.6400000000000001E-2</v>
      </c>
      <c r="C8" s="3">
        <v>1.6400000000000001E-2</v>
      </c>
      <c r="D8" s="3">
        <v>1.5800000000000002E-2</v>
      </c>
      <c r="E8" s="3">
        <v>2016156</v>
      </c>
      <c r="F8" s="3">
        <v>2796993</v>
      </c>
    </row>
    <row r="9" spans="1:7">
      <c r="A9" s="3" t="s">
        <v>6</v>
      </c>
      <c r="B9" s="3">
        <f>B2</f>
        <v>0.25219999999999998</v>
      </c>
      <c r="C9" s="3">
        <f t="shared" ref="C9:F9" si="0">C2</f>
        <v>0.24610000000000001</v>
      </c>
      <c r="D9" s="3">
        <f t="shared" si="0"/>
        <v>0.24879999999999999</v>
      </c>
      <c r="E9" s="3">
        <f t="shared" si="0"/>
        <v>32362957</v>
      </c>
      <c r="F9" s="3">
        <f t="shared" si="0"/>
        <v>44291213</v>
      </c>
    </row>
    <row r="10" spans="1:7">
      <c r="A10" s="3" t="s">
        <v>7</v>
      </c>
      <c r="B10" s="3">
        <f>B4+B5+B6+B7</f>
        <v>0.1709</v>
      </c>
      <c r="C10" s="3">
        <f t="shared" ref="C10:F10" si="1">C4+C5+C6+C7</f>
        <v>0.16310000000000002</v>
      </c>
      <c r="D10" s="3">
        <f t="shared" si="1"/>
        <v>0.15639999999999998</v>
      </c>
      <c r="E10" s="3">
        <f t="shared" si="1"/>
        <v>27223682</v>
      </c>
      <c r="F10" s="3">
        <f t="shared" si="1"/>
        <v>35892549</v>
      </c>
    </row>
    <row r="11" spans="1:7">
      <c r="A11" s="3" t="s">
        <v>8</v>
      </c>
      <c r="B11" s="3">
        <f>B10/B9</f>
        <v>0.67763679619349726</v>
      </c>
      <c r="C11" s="3">
        <f t="shared" ref="C11:F11" si="2">C10/C9</f>
        <v>0.66273872409589607</v>
      </c>
      <c r="D11" s="3">
        <f t="shared" si="2"/>
        <v>0.62861736334405138</v>
      </c>
      <c r="E11" s="3">
        <f t="shared" si="2"/>
        <v>0.84119884348021723</v>
      </c>
      <c r="F11" s="3">
        <f t="shared" si="2"/>
        <v>0.81037629292293256</v>
      </c>
    </row>
    <row r="12" spans="1:7">
      <c r="A12" s="3" t="s">
        <v>4</v>
      </c>
    </row>
    <row r="13" spans="1:7">
      <c r="A13" s="3" t="s">
        <v>2</v>
      </c>
      <c r="C13" s="2">
        <v>0.54339999999999999</v>
      </c>
      <c r="D13" s="2">
        <v>0.55730000000000002</v>
      </c>
      <c r="E13" s="2">
        <v>0.52129999999999999</v>
      </c>
      <c r="F13" s="2"/>
      <c r="G13" s="2">
        <v>0.50329999999999997</v>
      </c>
    </row>
    <row r="14" spans="1:7">
      <c r="A14" s="3" t="s">
        <v>58</v>
      </c>
      <c r="C14" s="2">
        <v>0.13689999999999999</v>
      </c>
      <c r="D14" s="2">
        <v>0.1366</v>
      </c>
      <c r="E14" s="2">
        <v>0.1389</v>
      </c>
      <c r="G14" s="2">
        <v>0.15090000000000001</v>
      </c>
    </row>
    <row r="15" spans="1:7">
      <c r="A15" s="3" t="s">
        <v>59</v>
      </c>
      <c r="C15" s="2">
        <v>3.8E-3</v>
      </c>
      <c r="D15" s="2">
        <v>4.8999999999999998E-3</v>
      </c>
      <c r="E15" s="2">
        <v>3.0000000000000001E-3</v>
      </c>
      <c r="G15" s="2">
        <v>5.3E-3</v>
      </c>
    </row>
    <row r="16" spans="1:7">
      <c r="A16" s="3" t="s">
        <v>60</v>
      </c>
      <c r="C16" s="2">
        <v>6.5000000000000002E-2</v>
      </c>
      <c r="D16" s="2">
        <v>6.1699999999999998E-2</v>
      </c>
      <c r="E16" s="2">
        <v>6.0900000000000003E-2</v>
      </c>
      <c r="G16" s="2">
        <v>6.4799999999999996E-2</v>
      </c>
    </row>
    <row r="17" spans="1:7">
      <c r="A17" s="3" t="s">
        <v>61</v>
      </c>
      <c r="C17" s="2">
        <v>0.20580000000000001</v>
      </c>
      <c r="D17" s="2">
        <v>0.2001</v>
      </c>
      <c r="E17" s="2">
        <v>0.23400000000000001</v>
      </c>
      <c r="G17" s="2">
        <v>0.23580000000000001</v>
      </c>
    </row>
    <row r="18" spans="1:7">
      <c r="A18" s="3" t="s">
        <v>62</v>
      </c>
      <c r="C18" s="2">
        <v>5.0000000000000001E-4</v>
      </c>
      <c r="D18" s="2">
        <v>6.9999999999999999E-4</v>
      </c>
      <c r="E18" s="2">
        <v>1.4E-3</v>
      </c>
      <c r="G18" s="2">
        <v>1.4E-3</v>
      </c>
    </row>
    <row r="19" spans="1:7">
      <c r="A19" s="3" t="s">
        <v>63</v>
      </c>
      <c r="C19" s="2">
        <v>1.89E-2</v>
      </c>
      <c r="D19" s="2">
        <v>1.8200000000000001E-2</v>
      </c>
      <c r="E19" s="2">
        <v>1.84E-2</v>
      </c>
      <c r="G19" s="2">
        <v>2.01E-2</v>
      </c>
    </row>
    <row r="20" spans="1:7">
      <c r="A20" s="3" t="s">
        <v>64</v>
      </c>
      <c r="C20" s="2">
        <v>2.23E-2</v>
      </c>
      <c r="D20" s="2">
        <v>1.9400000000000001E-2</v>
      </c>
      <c r="E20" s="2">
        <v>0.02</v>
      </c>
      <c r="G20" s="2">
        <v>1.84E-2</v>
      </c>
    </row>
    <row r="21" spans="1:7">
      <c r="A21" s="3" t="s">
        <v>57</v>
      </c>
      <c r="C21" s="2">
        <v>3.5000000000000001E-3</v>
      </c>
      <c r="D21" s="2">
        <v>1.1000000000000001E-3</v>
      </c>
      <c r="E21" s="2">
        <v>2.0999999999999999E-3</v>
      </c>
      <c r="G21" s="2">
        <v>0</v>
      </c>
    </row>
    <row r="22" spans="1:7">
      <c r="A22" s="3" t="s">
        <v>9</v>
      </c>
      <c r="C22" s="2">
        <f>C13</f>
        <v>0.54339999999999999</v>
      </c>
      <c r="D22" s="2">
        <f t="shared" ref="D22:G22" si="3">D13</f>
        <v>0.55730000000000002</v>
      </c>
      <c r="E22" s="2">
        <f t="shared" si="3"/>
        <v>0.52129999999999999</v>
      </c>
      <c r="F22" s="2"/>
      <c r="G22" s="2">
        <f t="shared" si="3"/>
        <v>0.50329999999999997</v>
      </c>
    </row>
    <row r="23" spans="1:7">
      <c r="A23" s="3" t="s">
        <v>10</v>
      </c>
      <c r="C23" s="2">
        <f>C16+C17+C19+C20</f>
        <v>0.31200000000000006</v>
      </c>
      <c r="D23" s="2">
        <f t="shared" ref="D23:G23" si="4">D16+D17+D19+D20</f>
        <v>0.2994</v>
      </c>
      <c r="E23" s="2">
        <f t="shared" si="4"/>
        <v>0.33330000000000004</v>
      </c>
      <c r="F23" s="2"/>
      <c r="G23" s="2">
        <f t="shared" si="4"/>
        <v>0.33909999999999996</v>
      </c>
    </row>
    <row r="24" spans="1:7">
      <c r="A24" s="3" t="s">
        <v>11</v>
      </c>
      <c r="C24" s="3">
        <f>C23/C22</f>
        <v>0.57416267942583743</v>
      </c>
      <c r="D24" s="3">
        <f t="shared" ref="D24:G24" si="5">D23/D22</f>
        <v>0.53723308810335546</v>
      </c>
      <c r="E24" s="3">
        <f t="shared" si="5"/>
        <v>0.6393631306349512</v>
      </c>
      <c r="G24" s="3">
        <f t="shared" si="5"/>
        <v>0.67375322869064169</v>
      </c>
    </row>
    <row r="25" spans="1:7">
      <c r="A25" s="3" t="s">
        <v>4</v>
      </c>
    </row>
    <row r="26" spans="1:7">
      <c r="A26" s="3" t="s">
        <v>2</v>
      </c>
      <c r="B26" s="5">
        <v>5659407</v>
      </c>
      <c r="C26" s="5">
        <v>5378310</v>
      </c>
      <c r="D26" s="5">
        <v>5568055</v>
      </c>
      <c r="E26" s="5">
        <v>5608027</v>
      </c>
      <c r="F26" s="5">
        <v>5493694</v>
      </c>
      <c r="G26" s="5">
        <v>2541855</v>
      </c>
    </row>
    <row r="27" spans="1:7">
      <c r="A27" s="3" t="s">
        <v>24</v>
      </c>
      <c r="B27" s="5">
        <v>4697635</v>
      </c>
      <c r="C27" s="5">
        <v>4283143</v>
      </c>
      <c r="D27" s="5">
        <v>4468879</v>
      </c>
      <c r="E27" s="5">
        <v>4575185</v>
      </c>
      <c r="F27" s="5">
        <v>4637290</v>
      </c>
      <c r="G27" s="5">
        <v>2120402</v>
      </c>
    </row>
    <row r="28" spans="1:7">
      <c r="A28" s="3" t="s">
        <v>25</v>
      </c>
      <c r="B28" s="5">
        <v>2442520</v>
      </c>
      <c r="C28" s="5">
        <v>2342917</v>
      </c>
      <c r="D28" s="5">
        <v>2297663</v>
      </c>
      <c r="E28" s="5">
        <v>2352058</v>
      </c>
      <c r="F28" s="5">
        <v>2347363</v>
      </c>
      <c r="G28" s="3">
        <v>1148459</v>
      </c>
    </row>
    <row r="29" spans="1:7">
      <c r="A29" s="3" t="s">
        <v>31</v>
      </c>
      <c r="B29" s="5">
        <f>B26</f>
        <v>5659407</v>
      </c>
      <c r="C29" s="5">
        <f t="shared" ref="C29:G29" si="6">C26</f>
        <v>5378310</v>
      </c>
      <c r="D29" s="5">
        <f t="shared" si="6"/>
        <v>5568055</v>
      </c>
      <c r="E29" s="5">
        <f t="shared" si="6"/>
        <v>5608027</v>
      </c>
      <c r="F29" s="5">
        <f t="shared" si="6"/>
        <v>5493694</v>
      </c>
      <c r="G29" s="5">
        <f t="shared" si="6"/>
        <v>2541855</v>
      </c>
    </row>
    <row r="30" spans="1:7">
      <c r="A30" s="3" t="s">
        <v>32</v>
      </c>
      <c r="B30" s="5">
        <f>B28</f>
        <v>2442520</v>
      </c>
      <c r="C30" s="5">
        <f t="shared" ref="C30:G30" si="7">C28</f>
        <v>2342917</v>
      </c>
      <c r="D30" s="5">
        <f t="shared" si="7"/>
        <v>2297663</v>
      </c>
      <c r="E30" s="5">
        <f t="shared" si="7"/>
        <v>2352058</v>
      </c>
      <c r="F30" s="5">
        <f t="shared" si="7"/>
        <v>2347363</v>
      </c>
      <c r="G30" s="5">
        <f t="shared" si="7"/>
        <v>1148459</v>
      </c>
    </row>
    <row r="31" spans="1:7">
      <c r="A31" s="3" t="s">
        <v>33</v>
      </c>
      <c r="B31" s="3">
        <f>B30/B29</f>
        <v>0.43158585342952011</v>
      </c>
      <c r="C31" s="3">
        <f t="shared" ref="C31:G31" si="8">C30/C29</f>
        <v>0.43562327199436252</v>
      </c>
      <c r="D31" s="3">
        <f t="shared" si="8"/>
        <v>0.41265091670251103</v>
      </c>
      <c r="E31" s="3">
        <f t="shared" si="8"/>
        <v>0.41940917902142766</v>
      </c>
      <c r="F31" s="3">
        <f t="shared" si="8"/>
        <v>0.42728317230628426</v>
      </c>
      <c r="G31" s="3">
        <f t="shared" si="8"/>
        <v>0.45181924224631226</v>
      </c>
    </row>
    <row r="32" spans="1:7">
      <c r="A32" s="3" t="s">
        <v>4</v>
      </c>
    </row>
    <row r="33" spans="1:7">
      <c r="A33" s="3" t="s">
        <v>1</v>
      </c>
      <c r="B33" s="3">
        <f>(B11+B31)/2</f>
        <v>0.55461132481150865</v>
      </c>
      <c r="C33" s="3">
        <f>(C11+C24+C31)/3</f>
        <v>0.55750822517203191</v>
      </c>
      <c r="D33" s="3">
        <f t="shared" ref="D33:E33" si="9">(D11+D24+D31)/3</f>
        <v>0.52616712271663924</v>
      </c>
      <c r="E33" s="3">
        <f t="shared" si="9"/>
        <v>0.63332371771219864</v>
      </c>
      <c r="F33" s="3">
        <f>(F11+F31)/2</f>
        <v>0.61882973261460839</v>
      </c>
      <c r="G33" s="3">
        <f>(G24+G31)/2</f>
        <v>0.56278623546847695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LRZ1</vt:lpstr>
      <vt:lpstr>LRZ35</vt:lpstr>
      <vt:lpstr>LRZ27</vt:lpstr>
      <vt:lpstr>LRZ6</vt:lpstr>
      <vt:lpstr>LRZ8910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2025-09-22T20:17:36Z</dcterms:created>
  <dcterms:modified xsi:type="dcterms:W3CDTF">2025-09-25T19:00:39Z</dcterms:modified>
</cp:coreProperties>
</file>