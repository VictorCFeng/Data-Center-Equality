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Paper/202508_datacenter/rider/CAISO/"/>
    </mc:Choice>
  </mc:AlternateContent>
  <xr:revisionPtr revIDLastSave="0" documentId="13_ncr:1_{0263DA4F-511E-BF42-96CF-B3910BAA84CB}" xr6:coauthVersionLast="47" xr6:coauthVersionMax="47" xr10:uidLastSave="{00000000-0000-0000-0000-000000000000}"/>
  <bookViews>
    <workbookView xWindow="0" yWindow="500" windowWidth="38400" windowHeight="21100" activeTab="1" xr2:uid="{08CDB012-30B4-7842-ADAB-7B261DF56280}"/>
  </bookViews>
  <sheets>
    <sheet name="NP15" sheetId="21" r:id="rId1"/>
    <sheet name="SP15" sheetId="2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2" l="1"/>
  <c r="G40" i="22"/>
  <c r="F40" i="22"/>
  <c r="E40" i="22"/>
  <c r="D40" i="22"/>
  <c r="C40" i="22"/>
  <c r="B40" i="22"/>
  <c r="G41" i="22"/>
  <c r="F41" i="22"/>
  <c r="E41" i="22"/>
  <c r="D41" i="22"/>
  <c r="B41" i="22"/>
  <c r="C37" i="22"/>
  <c r="C38" i="22" s="1"/>
  <c r="D37" i="22"/>
  <c r="E37" i="22"/>
  <c r="E38" i="22" s="1"/>
  <c r="F37" i="22"/>
  <c r="G37" i="22"/>
  <c r="B37" i="22"/>
  <c r="B38" i="22" s="1"/>
  <c r="C36" i="22"/>
  <c r="D36" i="22"/>
  <c r="E36" i="22"/>
  <c r="F36" i="22"/>
  <c r="G36" i="22"/>
  <c r="B36" i="22"/>
  <c r="C17" i="22"/>
  <c r="D17" i="22"/>
  <c r="E17" i="22"/>
  <c r="F17" i="22"/>
  <c r="F18" i="22" s="1"/>
  <c r="G17" i="22"/>
  <c r="B17" i="22"/>
  <c r="C16" i="22"/>
  <c r="D16" i="22"/>
  <c r="E16" i="22"/>
  <c r="F16" i="22"/>
  <c r="G16" i="22"/>
  <c r="B16" i="22"/>
  <c r="C10" i="21"/>
  <c r="D10" i="21"/>
  <c r="E10" i="21"/>
  <c r="F10" i="21"/>
  <c r="G10" i="21"/>
  <c r="B10" i="21"/>
  <c r="C9" i="21"/>
  <c r="D9" i="21"/>
  <c r="E9" i="21"/>
  <c r="F9" i="21"/>
  <c r="G9" i="21"/>
  <c r="B9" i="21"/>
  <c r="C11" i="21"/>
  <c r="D11" i="21"/>
  <c r="D18" i="22" l="1"/>
  <c r="C18" i="22"/>
  <c r="C42" i="22" s="1"/>
  <c r="F38" i="22"/>
  <c r="G38" i="22"/>
  <c r="D38" i="22"/>
  <c r="G18" i="22"/>
  <c r="G42" i="22"/>
  <c r="F42" i="22"/>
  <c r="B18" i="22"/>
  <c r="B42" i="22" s="1"/>
  <c r="E18" i="22"/>
  <c r="E42" i="22" s="1"/>
  <c r="G11" i="21"/>
  <c r="F11" i="21"/>
  <c r="E11" i="21"/>
  <c r="B11" i="21"/>
  <c r="D42" i="22" l="1"/>
</calcChain>
</file>

<file path=xl/sharedStrings.xml><?xml version="1.0" encoding="utf-8"?>
<sst xmlns="http://schemas.openxmlformats.org/spreadsheetml/2006/main" count="51" uniqueCount="37">
  <si>
    <t>DC</t>
  </si>
  <si>
    <t>Ratio</t>
  </si>
  <si>
    <t>Residential</t>
  </si>
  <si>
    <t>RU</t>
  </si>
  <si>
    <t>xxxxxxx</t>
  </si>
  <si>
    <t>RU-1</t>
  </si>
  <si>
    <t>DC-1</t>
  </si>
  <si>
    <t>Ratio-1</t>
  </si>
  <si>
    <t>RU-2</t>
  </si>
  <si>
    <t>DC-2</t>
  </si>
  <si>
    <t>Ratio-2</t>
  </si>
  <si>
    <t>Small L&amp;P</t>
  </si>
  <si>
    <t>Medium L&amp;P</t>
  </si>
  <si>
    <t>E20-/B20-</t>
  </si>
  <si>
    <t>STL</t>
  </si>
  <si>
    <t>Schedule E20</t>
  </si>
  <si>
    <t>STB-</t>
  </si>
  <si>
    <t>Domestic</t>
  </si>
  <si>
    <t>TOU-GS-1</t>
  </si>
  <si>
    <t>TC-1</t>
  </si>
  <si>
    <t>TOU-GS-2</t>
  </si>
  <si>
    <t>TOU-GS-3</t>
  </si>
  <si>
    <t>TOU-8-SEC</t>
  </si>
  <si>
    <t>TOU-8-PRI</t>
  </si>
  <si>
    <t>TOU-8-SUB</t>
  </si>
  <si>
    <t>TOU-8-Standby-SEC</t>
  </si>
  <si>
    <t>TOU-8-Standby-PRI</t>
  </si>
  <si>
    <t>TOU-8-Standby-SUB</t>
  </si>
  <si>
    <t>TOU-PA-2</t>
  </si>
  <si>
    <t>TOU-PA-3</t>
  </si>
  <si>
    <t>Street Lighting</t>
  </si>
  <si>
    <t>Small Commercial</t>
  </si>
  <si>
    <t>-</t>
  </si>
  <si>
    <t>Agricultural</t>
  </si>
  <si>
    <t>Lighting</t>
  </si>
  <si>
    <t>Standby</t>
  </si>
  <si>
    <t>M&amp;L Commerical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</si>
</sst>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11"/>
  <sheetViews>
    <sheetView workbookViewId="0">
      <selection activeCell="G15" sqref="G15"/>
    </sheetView>
  </sheetViews>
  <sheetFormatPr baseColWidth="10" defaultRowHeight="16" x14ac:dyDescent="0.2"/>
  <cols>
    <col min="1" max="1" width="26.6640625" bestFit="1" customWidth="1"/>
  </cols>
  <sheetData>
    <row r="1" spans="1:7" x14ac:dyDescent="0.2"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2">
      <c r="A2" t="s">
        <v>2</v>
      </c>
      <c r="B2" s="2">
        <v>0.44409999999999999</v>
      </c>
      <c r="C2" s="2">
        <v>0.46860000000000002</v>
      </c>
      <c r="D2" s="2">
        <v>0.47560000000000002</v>
      </c>
      <c r="E2" s="2">
        <v>0.46829999999999999</v>
      </c>
      <c r="F2" s="2">
        <v>0.46829999999999999</v>
      </c>
      <c r="G2" s="2">
        <v>0.4677</v>
      </c>
    </row>
    <row r="3" spans="1:7" x14ac:dyDescent="0.2">
      <c r="A3" t="s">
        <v>11</v>
      </c>
      <c r="B3" s="2">
        <v>9.7600000000000006E-2</v>
      </c>
      <c r="C3" s="2">
        <v>9.06E-2</v>
      </c>
      <c r="D3" s="2">
        <v>9.1800000000000007E-2</v>
      </c>
      <c r="E3" s="2">
        <v>9.5600000000000004E-2</v>
      </c>
      <c r="F3" s="2">
        <v>9.5600000000000004E-2</v>
      </c>
      <c r="G3" s="2">
        <v>9.2399999999999996E-2</v>
      </c>
    </row>
    <row r="4" spans="1:7" x14ac:dyDescent="0.2">
      <c r="A4" t="s">
        <v>12</v>
      </c>
      <c r="B4" s="2">
        <v>0.24660000000000001</v>
      </c>
      <c r="C4" s="2">
        <v>0.23449999999999999</v>
      </c>
      <c r="D4" s="2">
        <v>0.23219999999999999</v>
      </c>
      <c r="E4" s="2">
        <v>0.2387</v>
      </c>
      <c r="F4" s="2">
        <v>0.2387</v>
      </c>
      <c r="G4" s="2">
        <v>0.23949999999999999</v>
      </c>
    </row>
    <row r="5" spans="1:7" x14ac:dyDescent="0.2">
      <c r="A5" t="s">
        <v>14</v>
      </c>
      <c r="B5" s="2">
        <v>2.3999999999999998E-3</v>
      </c>
      <c r="C5" s="2">
        <v>2.5000000000000001E-3</v>
      </c>
      <c r="D5" s="2">
        <v>2.3999999999999998E-3</v>
      </c>
      <c r="E5" s="2">
        <v>2.5000000000000001E-3</v>
      </c>
      <c r="F5" s="2">
        <v>2.5000000000000001E-3</v>
      </c>
      <c r="G5" s="2">
        <v>2.5000000000000001E-3</v>
      </c>
    </row>
    <row r="6" spans="1:7" x14ac:dyDescent="0.2">
      <c r="A6" t="s">
        <v>13</v>
      </c>
      <c r="B6" s="2">
        <v>5.5199999999999999E-2</v>
      </c>
      <c r="C6" s="2">
        <v>6.2600000000000003E-2</v>
      </c>
      <c r="D6" s="2">
        <v>6.3899999999999998E-2</v>
      </c>
      <c r="E6" s="2">
        <v>6.1499999999999999E-2</v>
      </c>
      <c r="F6" s="2">
        <v>6.1499999999999999E-2</v>
      </c>
      <c r="G6" s="2">
        <v>6.4899999999999999E-2</v>
      </c>
    </row>
    <row r="7" spans="1:7" x14ac:dyDescent="0.2">
      <c r="A7" t="s">
        <v>15</v>
      </c>
      <c r="B7" s="2">
        <v>0.14380000000000001</v>
      </c>
      <c r="C7" s="2">
        <v>0.13250000000000001</v>
      </c>
      <c r="D7" s="2">
        <v>0.1293</v>
      </c>
      <c r="E7" s="2">
        <v>0.1265</v>
      </c>
      <c r="F7" s="2">
        <v>0.1265</v>
      </c>
      <c r="G7" s="2">
        <v>0.12640000000000001</v>
      </c>
    </row>
    <row r="8" spans="1:7" x14ac:dyDescent="0.2">
      <c r="A8" t="s">
        <v>16</v>
      </c>
      <c r="B8" s="2">
        <v>1.01E-2</v>
      </c>
      <c r="C8" s="2">
        <v>8.6999999999999994E-3</v>
      </c>
      <c r="D8" s="2">
        <v>4.7000000000000002E-3</v>
      </c>
      <c r="E8" s="2">
        <v>6.8999999999999999E-3</v>
      </c>
      <c r="F8" s="2">
        <v>6.8999999999999999E-3</v>
      </c>
      <c r="G8" s="2">
        <v>6.4999999999999997E-3</v>
      </c>
    </row>
    <row r="9" spans="1:7" x14ac:dyDescent="0.2">
      <c r="A9" t="s">
        <v>3</v>
      </c>
      <c r="B9" s="2">
        <f>B2</f>
        <v>0.44409999999999999</v>
      </c>
      <c r="C9" s="2">
        <f t="shared" ref="C9:G9" si="0">C2</f>
        <v>0.46860000000000002</v>
      </c>
      <c r="D9" s="2">
        <f t="shared" si="0"/>
        <v>0.47560000000000002</v>
      </c>
      <c r="E9" s="2">
        <f t="shared" si="0"/>
        <v>0.46829999999999999</v>
      </c>
      <c r="F9" s="2">
        <f t="shared" si="0"/>
        <v>0.46829999999999999</v>
      </c>
      <c r="G9" s="2">
        <f t="shared" si="0"/>
        <v>0.4677</v>
      </c>
    </row>
    <row r="10" spans="1:7" x14ac:dyDescent="0.2">
      <c r="A10" t="s">
        <v>0</v>
      </c>
      <c r="B10" s="2">
        <f>B6+B7</f>
        <v>0.19900000000000001</v>
      </c>
      <c r="C10" s="2">
        <f t="shared" ref="C10:G10" si="1">C6+C7</f>
        <v>0.1951</v>
      </c>
      <c r="D10" s="2">
        <f t="shared" si="1"/>
        <v>0.19319999999999998</v>
      </c>
      <c r="E10" s="2">
        <f t="shared" si="1"/>
        <v>0.188</v>
      </c>
      <c r="F10" s="2">
        <f t="shared" si="1"/>
        <v>0.188</v>
      </c>
      <c r="G10" s="2">
        <f t="shared" si="1"/>
        <v>0.19130000000000003</v>
      </c>
    </row>
    <row r="11" spans="1:7" x14ac:dyDescent="0.2">
      <c r="A11" t="s">
        <v>1</v>
      </c>
      <c r="B11" s="2">
        <f>B10/B9</f>
        <v>0.44809727538842609</v>
      </c>
      <c r="C11" s="2">
        <f t="shared" ref="C11:G11" si="2">C10/C9</f>
        <v>0.41634656423388816</v>
      </c>
      <c r="D11" s="2">
        <f t="shared" si="2"/>
        <v>0.40622371740958785</v>
      </c>
      <c r="E11" s="2">
        <f t="shared" si="2"/>
        <v>0.40145206064488576</v>
      </c>
      <c r="F11" s="2">
        <f t="shared" si="2"/>
        <v>0.40145206064488576</v>
      </c>
      <c r="G11" s="2">
        <f t="shared" si="2"/>
        <v>0.40902287791319225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42"/>
  <sheetViews>
    <sheetView tabSelected="1" workbookViewId="0">
      <selection activeCell="J31" sqref="J31"/>
    </sheetView>
  </sheetViews>
  <sheetFormatPr baseColWidth="10" defaultRowHeight="16" x14ac:dyDescent="0.2"/>
  <cols>
    <col min="1" max="1" width="18" bestFit="1" customWidth="1"/>
    <col min="2" max="2" width="12.1640625" bestFit="1" customWidth="1"/>
  </cols>
  <sheetData>
    <row r="1" spans="1:7" x14ac:dyDescent="0.2">
      <c r="A1" s="1"/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2">
      <c r="A2" t="s">
        <v>17</v>
      </c>
      <c r="B2" s="2">
        <v>0.43059999999999998</v>
      </c>
      <c r="C2" s="2">
        <v>0.44</v>
      </c>
      <c r="D2" s="2">
        <v>0.43780000000000002</v>
      </c>
      <c r="E2" s="2">
        <v>0.42349999999999999</v>
      </c>
      <c r="F2" s="2">
        <v>0.43880000000000002</v>
      </c>
      <c r="G2" s="2">
        <v>0.45040000000000002</v>
      </c>
    </row>
    <row r="3" spans="1:7" x14ac:dyDescent="0.2">
      <c r="A3" t="s">
        <v>18</v>
      </c>
      <c r="B3" s="2">
        <v>7.4300000000000005E-2</v>
      </c>
      <c r="C3" s="2">
        <v>7.2499999999999995E-2</v>
      </c>
      <c r="D3" s="2">
        <v>7.6799999999999993E-2</v>
      </c>
      <c r="E3" s="2">
        <v>7.7899999999999997E-2</v>
      </c>
      <c r="F3" s="2">
        <v>7.3800000000000004E-2</v>
      </c>
      <c r="G3" s="2">
        <v>7.0400000000000004E-2</v>
      </c>
    </row>
    <row r="4" spans="1:7" x14ac:dyDescent="0.2">
      <c r="A4" t="s">
        <v>19</v>
      </c>
      <c r="B4" s="2">
        <v>5.0000000000000001E-4</v>
      </c>
      <c r="C4" s="2">
        <v>5.0000000000000001E-4</v>
      </c>
      <c r="D4" s="2">
        <v>5.0000000000000001E-4</v>
      </c>
      <c r="E4" s="2">
        <v>5.0000000000000001E-4</v>
      </c>
      <c r="F4" s="2">
        <v>5.0000000000000001E-4</v>
      </c>
      <c r="G4" s="2">
        <v>4.0000000000000002E-4</v>
      </c>
    </row>
    <row r="5" spans="1:7" x14ac:dyDescent="0.2">
      <c r="A5" t="s">
        <v>20</v>
      </c>
      <c r="B5" s="2">
        <v>0.16520000000000001</v>
      </c>
      <c r="C5" s="2">
        <v>0.15840000000000001</v>
      </c>
      <c r="D5" s="2">
        <v>0.15260000000000001</v>
      </c>
      <c r="E5" s="2">
        <v>0.1522</v>
      </c>
      <c r="F5" s="2">
        <v>0.15049999999999999</v>
      </c>
      <c r="G5" s="2">
        <v>0.15529999999999999</v>
      </c>
    </row>
    <row r="6" spans="1:7" x14ac:dyDescent="0.2">
      <c r="A6" t="s">
        <v>21</v>
      </c>
      <c r="B6" s="2">
        <v>8.5999999999999993E-2</v>
      </c>
      <c r="C6" s="2">
        <v>8.2299999999999998E-2</v>
      </c>
      <c r="D6" s="2">
        <v>8.5999999999999993E-2</v>
      </c>
      <c r="E6" s="2">
        <v>8.8200000000000001E-2</v>
      </c>
      <c r="F6" s="2">
        <v>8.9300000000000004E-2</v>
      </c>
      <c r="G6" s="2">
        <v>8.3599999999999994E-2</v>
      </c>
    </row>
    <row r="7" spans="1:7" x14ac:dyDescent="0.2">
      <c r="A7" t="s">
        <v>22</v>
      </c>
      <c r="B7" s="2">
        <v>8.6099999999999996E-2</v>
      </c>
      <c r="C7" s="2">
        <v>8.48E-2</v>
      </c>
      <c r="D7" s="2">
        <v>8.3400000000000002E-2</v>
      </c>
      <c r="E7" s="2">
        <v>9.2999999999999999E-2</v>
      </c>
      <c r="F7" s="2">
        <v>8.3299999999999999E-2</v>
      </c>
      <c r="G7" s="2">
        <v>7.3700000000000002E-2</v>
      </c>
    </row>
    <row r="8" spans="1:7" x14ac:dyDescent="0.2">
      <c r="A8" t="s">
        <v>23</v>
      </c>
      <c r="B8" s="2">
        <v>5.5899999999999998E-2</v>
      </c>
      <c r="C8" s="2">
        <v>5.4899999999999997E-2</v>
      </c>
      <c r="D8" s="2">
        <v>5.9299999999999999E-2</v>
      </c>
      <c r="E8" s="2">
        <v>5.9499999999999997E-2</v>
      </c>
      <c r="F8" s="2">
        <v>5.62E-2</v>
      </c>
      <c r="G8" s="2">
        <v>5.7000000000000002E-2</v>
      </c>
    </row>
    <row r="9" spans="1:7" x14ac:dyDescent="0.2">
      <c r="A9" t="s">
        <v>24</v>
      </c>
      <c r="B9" s="2">
        <v>6.3399999999999998E-2</v>
      </c>
      <c r="C9" s="2">
        <v>6.6600000000000006E-2</v>
      </c>
      <c r="D9" s="2">
        <v>6.3200000000000006E-2</v>
      </c>
      <c r="E9" s="2">
        <v>6.3799999999999996E-2</v>
      </c>
      <c r="F9" s="2">
        <v>6.59E-2</v>
      </c>
      <c r="G9" s="2">
        <v>6.6199999999999995E-2</v>
      </c>
    </row>
    <row r="10" spans="1:7" x14ac:dyDescent="0.2">
      <c r="A10" t="s">
        <v>25</v>
      </c>
      <c r="B10" s="2">
        <v>8.9999999999999998E-4</v>
      </c>
      <c r="C10" s="2">
        <v>8.9999999999999998E-4</v>
      </c>
      <c r="D10" s="2">
        <v>8.9999999999999998E-4</v>
      </c>
      <c r="E10" s="2">
        <v>8.0000000000000004E-4</v>
      </c>
      <c r="F10" s="2">
        <v>6.9999999999999999E-4</v>
      </c>
      <c r="G10" s="2">
        <v>5.9999999999999995E-4</v>
      </c>
    </row>
    <row r="11" spans="1:7" x14ac:dyDescent="0.2">
      <c r="A11" t="s">
        <v>26</v>
      </c>
      <c r="B11" s="2">
        <v>1.9E-3</v>
      </c>
      <c r="C11" s="2">
        <v>1.9E-3</v>
      </c>
      <c r="D11" s="2">
        <v>1.9E-3</v>
      </c>
      <c r="E11" s="2">
        <v>1.8E-3</v>
      </c>
      <c r="F11" s="2">
        <v>1.6000000000000001E-3</v>
      </c>
      <c r="G11" s="2">
        <v>1.6000000000000001E-3</v>
      </c>
    </row>
    <row r="12" spans="1:7" x14ac:dyDescent="0.2">
      <c r="A12" t="s">
        <v>27</v>
      </c>
      <c r="B12" s="2">
        <v>3.8999999999999998E-3</v>
      </c>
      <c r="C12" s="2">
        <v>4.3E-3</v>
      </c>
      <c r="D12" s="2">
        <v>3.2000000000000002E-3</v>
      </c>
      <c r="E12" s="2">
        <v>3.2000000000000002E-3</v>
      </c>
      <c r="F12" s="2">
        <v>4.0000000000000001E-3</v>
      </c>
      <c r="G12" s="2">
        <v>4.7000000000000002E-3</v>
      </c>
    </row>
    <row r="13" spans="1:7" x14ac:dyDescent="0.2">
      <c r="A13" t="s">
        <v>28</v>
      </c>
      <c r="B13" s="2">
        <v>1.5699999999999999E-2</v>
      </c>
      <c r="C13" s="2">
        <v>1.61E-2</v>
      </c>
      <c r="D13" s="2">
        <v>1.66E-2</v>
      </c>
      <c r="E13" s="2">
        <v>1.7500000000000002E-2</v>
      </c>
      <c r="F13" s="2">
        <v>1.7399999999999999E-2</v>
      </c>
      <c r="G13" s="2">
        <v>1.7500000000000002E-2</v>
      </c>
    </row>
    <row r="14" spans="1:7" x14ac:dyDescent="0.2">
      <c r="A14" t="s">
        <v>29</v>
      </c>
      <c r="B14" s="2">
        <v>1.21E-2</v>
      </c>
      <c r="C14" s="2">
        <v>1.2800000000000001E-2</v>
      </c>
      <c r="D14" s="2">
        <v>1.35E-2</v>
      </c>
      <c r="E14" s="2">
        <v>1.44E-2</v>
      </c>
      <c r="F14" s="2">
        <v>1.4500000000000001E-2</v>
      </c>
      <c r="G14" s="2">
        <v>1.5299999999999999E-2</v>
      </c>
    </row>
    <row r="15" spans="1:7" x14ac:dyDescent="0.2">
      <c r="A15" t="s">
        <v>30</v>
      </c>
      <c r="B15" s="2">
        <v>3.8E-3</v>
      </c>
      <c r="C15" s="2">
        <v>4.0000000000000001E-3</v>
      </c>
      <c r="D15" s="2">
        <v>4.3E-3</v>
      </c>
      <c r="E15" s="2">
        <v>3.8E-3</v>
      </c>
      <c r="F15" s="2">
        <v>3.5999999999999999E-3</v>
      </c>
      <c r="G15" s="2">
        <v>3.0999999999999999E-3</v>
      </c>
    </row>
    <row r="16" spans="1:7" x14ac:dyDescent="0.2">
      <c r="A16" t="s">
        <v>5</v>
      </c>
      <c r="B16" s="2">
        <f>B2</f>
        <v>0.43059999999999998</v>
      </c>
      <c r="C16" s="2">
        <f t="shared" ref="C16:G16" si="0">C2</f>
        <v>0.44</v>
      </c>
      <c r="D16" s="2">
        <f t="shared" si="0"/>
        <v>0.43780000000000002</v>
      </c>
      <c r="E16" s="2">
        <f t="shared" si="0"/>
        <v>0.42349999999999999</v>
      </c>
      <c r="F16" s="2">
        <f t="shared" si="0"/>
        <v>0.43880000000000002</v>
      </c>
      <c r="G16" s="2">
        <f t="shared" si="0"/>
        <v>0.45040000000000002</v>
      </c>
    </row>
    <row r="17" spans="1:7" x14ac:dyDescent="0.2">
      <c r="A17" t="s">
        <v>6</v>
      </c>
      <c r="B17" s="2">
        <f>SUM(B7:B12)</f>
        <v>0.21209999999999998</v>
      </c>
      <c r="C17" s="2">
        <f t="shared" ref="C17:G17" si="1">SUM(C7:C12)</f>
        <v>0.21340000000000001</v>
      </c>
      <c r="D17" s="2">
        <f t="shared" si="1"/>
        <v>0.21190000000000003</v>
      </c>
      <c r="E17" s="2">
        <f t="shared" si="1"/>
        <v>0.22209999999999999</v>
      </c>
      <c r="F17" s="2">
        <f t="shared" si="1"/>
        <v>0.21170000000000003</v>
      </c>
      <c r="G17" s="2">
        <f t="shared" si="1"/>
        <v>0.20380000000000001</v>
      </c>
    </row>
    <row r="18" spans="1:7" x14ac:dyDescent="0.2">
      <c r="A18" t="s">
        <v>7</v>
      </c>
      <c r="B18" s="2">
        <f>B17/B16</f>
        <v>0.49256850905712957</v>
      </c>
      <c r="C18" s="2">
        <f t="shared" ref="C18:G18" si="2">C17/C16</f>
        <v>0.48499999999999999</v>
      </c>
      <c r="D18" s="2">
        <f t="shared" si="2"/>
        <v>0.48401096391046144</v>
      </c>
      <c r="E18" s="2">
        <f t="shared" si="2"/>
        <v>0.52443919716646992</v>
      </c>
      <c r="F18" s="2">
        <f t="shared" si="2"/>
        <v>0.48245214220601645</v>
      </c>
      <c r="G18" s="2">
        <f t="shared" si="2"/>
        <v>0.4524866785079929</v>
      </c>
    </row>
    <row r="19" spans="1:7" x14ac:dyDescent="0.2">
      <c r="A19" t="s">
        <v>4</v>
      </c>
      <c r="B19" s="2"/>
      <c r="C19" s="2"/>
      <c r="D19" s="2"/>
      <c r="E19" s="2"/>
      <c r="F19" s="2"/>
      <c r="G19" s="2"/>
    </row>
    <row r="20" spans="1:7" x14ac:dyDescent="0.2">
      <c r="A20" t="s">
        <v>2</v>
      </c>
      <c r="B20" s="2">
        <v>0.43390000000000001</v>
      </c>
      <c r="C20" s="2">
        <v>0.4365</v>
      </c>
      <c r="D20" s="2">
        <v>0.4345</v>
      </c>
      <c r="E20" s="2">
        <v>0.44900000000000001</v>
      </c>
      <c r="F20" s="2">
        <v>0.45300000000000001</v>
      </c>
      <c r="G20" s="2">
        <v>0.45350000000000001</v>
      </c>
    </row>
    <row r="21" spans="1:7" x14ac:dyDescent="0.2">
      <c r="A21" t="s">
        <v>31</v>
      </c>
      <c r="B21" s="2">
        <v>0.1065</v>
      </c>
      <c r="C21" s="2">
        <v>0.10589999999999999</v>
      </c>
      <c r="D21" s="2">
        <v>0.1082</v>
      </c>
      <c r="E21" s="2">
        <v>0.1086</v>
      </c>
      <c r="F21" s="2">
        <v>0.11</v>
      </c>
      <c r="G21" s="2">
        <v>0.1091</v>
      </c>
    </row>
    <row r="22" spans="1:7" x14ac:dyDescent="0.2">
      <c r="A22" t="s">
        <v>32</v>
      </c>
      <c r="B22" s="2">
        <v>0.30059999999999998</v>
      </c>
      <c r="C22" s="2">
        <v>0.29920000000000002</v>
      </c>
      <c r="D22" s="2">
        <v>0.2989</v>
      </c>
      <c r="E22" s="2">
        <v>0.28849999999999998</v>
      </c>
      <c r="F22" s="2">
        <v>0.28439999999999999</v>
      </c>
      <c r="G22" s="2">
        <v>0.28839999999999999</v>
      </c>
    </row>
    <row r="23" spans="1:7" x14ac:dyDescent="0.2">
      <c r="A23" t="s">
        <v>32</v>
      </c>
      <c r="B23" s="2">
        <v>9.35E-2</v>
      </c>
      <c r="C23" s="2">
        <v>9.3100000000000002E-2</v>
      </c>
      <c r="D23" s="2">
        <v>9.2999999999999999E-2</v>
      </c>
      <c r="E23" s="2">
        <v>8.9800000000000005E-2</v>
      </c>
      <c r="F23" s="2">
        <v>8.8499999999999995E-2</v>
      </c>
      <c r="G23" s="2">
        <v>8.9700000000000002E-2</v>
      </c>
    </row>
    <row r="24" spans="1:7" x14ac:dyDescent="0.2">
      <c r="A24" t="s">
        <v>32</v>
      </c>
      <c r="B24" s="2">
        <v>3.6299999999999999E-2</v>
      </c>
      <c r="C24" s="2">
        <v>3.61E-2</v>
      </c>
      <c r="D24" s="2">
        <v>3.61E-2</v>
      </c>
      <c r="E24" s="2">
        <v>3.49E-2</v>
      </c>
      <c r="F24" s="2">
        <v>3.4299999999999997E-2</v>
      </c>
      <c r="G24" s="2">
        <v>3.4799999999999998E-2</v>
      </c>
    </row>
    <row r="25" spans="1:7" x14ac:dyDescent="0.2">
      <c r="A25" t="s">
        <v>36</v>
      </c>
      <c r="B25" s="3">
        <v>0.43049999999999999</v>
      </c>
      <c r="C25" s="3">
        <v>0.42849999999999999</v>
      </c>
      <c r="D25" s="3">
        <v>0.42799999999999999</v>
      </c>
      <c r="E25" s="3">
        <v>0.41320000000000001</v>
      </c>
      <c r="F25" s="3">
        <v>0.40720000000000001</v>
      </c>
      <c r="G25" s="3">
        <v>0.41289999999999999</v>
      </c>
    </row>
    <row r="26" spans="1:7" x14ac:dyDescent="0.2">
      <c r="A26" t="s">
        <v>32</v>
      </c>
      <c r="B26" s="2">
        <v>9.1999999999999998E-3</v>
      </c>
      <c r="C26" s="2">
        <v>8.8999999999999999E-3</v>
      </c>
      <c r="D26" s="2">
        <v>1E-4</v>
      </c>
      <c r="E26" s="2">
        <v>1E-4</v>
      </c>
      <c r="F26" s="2">
        <v>1E-4</v>
      </c>
      <c r="G26" s="2">
        <v>1E-4</v>
      </c>
    </row>
    <row r="27" spans="1:7" x14ac:dyDescent="0.2">
      <c r="A27" t="s">
        <v>32</v>
      </c>
      <c r="B27" s="2">
        <v>1.6000000000000001E-3</v>
      </c>
      <c r="C27" s="2">
        <v>1.4E-3</v>
      </c>
      <c r="D27" s="2">
        <v>8.8000000000000005E-3</v>
      </c>
      <c r="E27" s="2">
        <v>8.8999999999999999E-3</v>
      </c>
      <c r="F27" s="2">
        <v>9.1999999999999998E-3</v>
      </c>
      <c r="G27" s="2">
        <v>9.4999999999999998E-3</v>
      </c>
    </row>
    <row r="28" spans="1:7" x14ac:dyDescent="0.2">
      <c r="A28" t="s">
        <v>32</v>
      </c>
      <c r="B28" s="2">
        <v>0</v>
      </c>
      <c r="C28" s="2">
        <v>0</v>
      </c>
      <c r="D28" s="2">
        <v>1.4E-3</v>
      </c>
      <c r="E28" s="2">
        <v>1.4E-3</v>
      </c>
      <c r="F28" s="2">
        <v>1.4E-3</v>
      </c>
      <c r="G28" s="2">
        <v>1.4E-3</v>
      </c>
    </row>
    <row r="29" spans="1:7" x14ac:dyDescent="0.2">
      <c r="A29" t="s">
        <v>32</v>
      </c>
      <c r="B29" s="2"/>
      <c r="C29" s="2"/>
      <c r="D29" s="2">
        <v>0</v>
      </c>
      <c r="E29" s="2">
        <v>0</v>
      </c>
      <c r="F29" s="2">
        <v>0</v>
      </c>
      <c r="G29" s="2">
        <v>0</v>
      </c>
    </row>
    <row r="30" spans="1:7" x14ac:dyDescent="0.2">
      <c r="A30" t="s">
        <v>33</v>
      </c>
      <c r="B30" s="3">
        <v>1.0699999999999999E-2</v>
      </c>
      <c r="C30" s="3">
        <v>1.03E-2</v>
      </c>
      <c r="D30" s="3">
        <v>1.0200000000000001E-2</v>
      </c>
      <c r="E30" s="3">
        <v>1.03E-2</v>
      </c>
      <c r="F30" s="3">
        <v>1.06E-2</v>
      </c>
      <c r="G30" s="3">
        <v>1.09E-2</v>
      </c>
    </row>
    <row r="31" spans="1:7" x14ac:dyDescent="0.2">
      <c r="A31" t="s">
        <v>34</v>
      </c>
      <c r="B31" s="2">
        <v>2.8E-3</v>
      </c>
      <c r="C31" s="2">
        <v>3.0999999999999999E-3</v>
      </c>
      <c r="D31" s="2">
        <v>3.3E-3</v>
      </c>
      <c r="E31" s="2">
        <v>3.3999999999999998E-3</v>
      </c>
      <c r="F31" s="2">
        <v>3.3999999999999998E-3</v>
      </c>
      <c r="G31" s="2">
        <v>3.3E-3</v>
      </c>
    </row>
    <row r="32" spans="1:7" x14ac:dyDescent="0.2">
      <c r="A32" t="s">
        <v>32</v>
      </c>
      <c r="B32" s="2">
        <v>8.9999999999999998E-4</v>
      </c>
      <c r="C32" s="2">
        <v>8.9999999999999998E-4</v>
      </c>
      <c r="D32" s="2">
        <v>8.9999999999999998E-4</v>
      </c>
      <c r="E32" s="2">
        <v>8.9999999999999998E-4</v>
      </c>
      <c r="F32" s="2">
        <v>8.9999999999999998E-4</v>
      </c>
      <c r="G32" s="2">
        <v>1.6999999999999999E-3</v>
      </c>
    </row>
    <row r="33" spans="1:7" x14ac:dyDescent="0.2">
      <c r="A33" t="s">
        <v>32</v>
      </c>
      <c r="B33" s="2">
        <v>8.9999999999999993E-3</v>
      </c>
      <c r="C33" s="2">
        <v>9.1000000000000004E-3</v>
      </c>
      <c r="D33" s="2">
        <v>8.8000000000000005E-3</v>
      </c>
      <c r="E33" s="2">
        <v>8.0000000000000002E-3</v>
      </c>
      <c r="F33" s="2">
        <v>8.2000000000000007E-3</v>
      </c>
      <c r="G33" s="2">
        <v>4.3E-3</v>
      </c>
    </row>
    <row r="34" spans="1:7" x14ac:dyDescent="0.2">
      <c r="A34" t="s">
        <v>32</v>
      </c>
      <c r="B34" s="2">
        <v>5.7000000000000002E-3</v>
      </c>
      <c r="C34" s="2">
        <v>5.7000000000000002E-3</v>
      </c>
      <c r="D34" s="2">
        <v>6.0000000000000001E-3</v>
      </c>
      <c r="E34" s="2">
        <v>6.4999999999999997E-3</v>
      </c>
      <c r="F34" s="2">
        <v>6.6E-3</v>
      </c>
      <c r="G34" s="2">
        <v>4.1000000000000003E-3</v>
      </c>
    </row>
    <row r="35" spans="1:7" x14ac:dyDescent="0.2">
      <c r="A35" t="s">
        <v>35</v>
      </c>
      <c r="B35" s="3">
        <v>1.5599999999999999E-2</v>
      </c>
      <c r="C35" s="3">
        <v>1.5800000000000002E-2</v>
      </c>
      <c r="D35" s="3">
        <v>1.5699999999999999E-2</v>
      </c>
      <c r="E35" s="3">
        <v>1.54E-2</v>
      </c>
      <c r="F35" s="3">
        <v>1.5699999999999999E-2</v>
      </c>
      <c r="G35" s="3">
        <v>1.01E-2</v>
      </c>
    </row>
    <row r="36" spans="1:7" x14ac:dyDescent="0.2">
      <c r="A36" t="s">
        <v>8</v>
      </c>
      <c r="B36" s="2">
        <f>B20</f>
        <v>0.43390000000000001</v>
      </c>
      <c r="C36" s="2">
        <f t="shared" ref="C36:G36" si="3">C20</f>
        <v>0.4365</v>
      </c>
      <c r="D36" s="2">
        <f t="shared" si="3"/>
        <v>0.4345</v>
      </c>
      <c r="E36" s="2">
        <f t="shared" si="3"/>
        <v>0.44900000000000001</v>
      </c>
      <c r="F36" s="2">
        <f t="shared" si="3"/>
        <v>0.45300000000000001</v>
      </c>
      <c r="G36" s="2">
        <f t="shared" si="3"/>
        <v>0.45350000000000001</v>
      </c>
    </row>
    <row r="37" spans="1:7" x14ac:dyDescent="0.2">
      <c r="A37" t="s">
        <v>9</v>
      </c>
      <c r="B37" s="2">
        <f>B25</f>
        <v>0.43049999999999999</v>
      </c>
      <c r="C37" s="2">
        <f t="shared" ref="C37:G37" si="4">C25</f>
        <v>0.42849999999999999</v>
      </c>
      <c r="D37" s="2">
        <f t="shared" si="4"/>
        <v>0.42799999999999999</v>
      </c>
      <c r="E37" s="2">
        <f t="shared" si="4"/>
        <v>0.41320000000000001</v>
      </c>
      <c r="F37" s="2">
        <f t="shared" si="4"/>
        <v>0.40720000000000001</v>
      </c>
      <c r="G37" s="2">
        <f t="shared" si="4"/>
        <v>0.41289999999999999</v>
      </c>
    </row>
    <row r="38" spans="1:7" x14ac:dyDescent="0.2">
      <c r="A38" t="s">
        <v>10</v>
      </c>
      <c r="B38" s="2">
        <f>B37/B36</f>
        <v>0.99216409310901121</v>
      </c>
      <c r="C38" s="2">
        <f t="shared" ref="C38:G38" si="5">C37/C36</f>
        <v>0.98167239404352802</v>
      </c>
      <c r="D38" s="2">
        <f t="shared" si="5"/>
        <v>0.98504027617951673</v>
      </c>
      <c r="E38" s="2">
        <f t="shared" si="5"/>
        <v>0.92026726057906461</v>
      </c>
      <c r="F38" s="2">
        <f t="shared" si="5"/>
        <v>0.89889624724061812</v>
      </c>
      <c r="G38" s="2">
        <f t="shared" si="5"/>
        <v>0.91047409040793825</v>
      </c>
    </row>
    <row r="39" spans="1:7" x14ac:dyDescent="0.2">
      <c r="A39" t="s">
        <v>4</v>
      </c>
    </row>
    <row r="40" spans="1:7" x14ac:dyDescent="0.2">
      <c r="A40" t="s">
        <v>3</v>
      </c>
      <c r="B40">
        <f>(B16+B36)/2</f>
        <v>0.43225000000000002</v>
      </c>
      <c r="C40">
        <f>(C16+C36)/2</f>
        <v>0.43825000000000003</v>
      </c>
      <c r="D40">
        <f>(D16+D36)/2</f>
        <v>0.43615000000000004</v>
      </c>
      <c r="E40">
        <f>(E16+E36)/2</f>
        <v>0.43625000000000003</v>
      </c>
      <c r="F40">
        <f>(F16+F36)/2</f>
        <v>0.44590000000000002</v>
      </c>
      <c r="G40">
        <f>(G16+G36)/2</f>
        <v>0.45195000000000002</v>
      </c>
    </row>
    <row r="41" spans="1:7" x14ac:dyDescent="0.2">
      <c r="A41" t="s">
        <v>0</v>
      </c>
      <c r="B41">
        <f>(B17+B37)/2</f>
        <v>0.32129999999999997</v>
      </c>
      <c r="C41">
        <f>(C17+C37)/2</f>
        <v>0.32095000000000001</v>
      </c>
      <c r="D41">
        <f>(D17+D37)/2</f>
        <v>0.31995000000000001</v>
      </c>
      <c r="E41">
        <f>(E17+E37)/2</f>
        <v>0.31764999999999999</v>
      </c>
      <c r="F41">
        <f>(F17+F37)/2</f>
        <v>0.30945</v>
      </c>
      <c r="G41">
        <f>(G17+G37)/2</f>
        <v>0.30835000000000001</v>
      </c>
    </row>
    <row r="42" spans="1:7" x14ac:dyDescent="0.2">
      <c r="A42" t="s">
        <v>1</v>
      </c>
      <c r="B42">
        <f>(B18+B38)/2</f>
        <v>0.74236630108307033</v>
      </c>
      <c r="C42">
        <f>(C18+C38)/2</f>
        <v>0.733336197021764</v>
      </c>
      <c r="D42">
        <f>(D18+D38)/2</f>
        <v>0.73452562004498911</v>
      </c>
      <c r="E42">
        <f>(E18+E38)/2</f>
        <v>0.72235322887276721</v>
      </c>
      <c r="F42">
        <f>(F18+F38)/2</f>
        <v>0.69067419472331726</v>
      </c>
      <c r="G42">
        <f>(G18+G38)/2</f>
        <v>0.68148038445796555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NP15</vt:lpstr>
      <vt:lpstr>SP15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2025-10-10T14:57:11Z</dcterms:modified>
</cp:coreProperties>
</file>