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94872-sdWYlGqNNvIT/"/>
    </mc:Choice>
  </mc:AlternateContent>
  <xr:revisionPtr revIDLastSave="0" documentId="13_ncr:1_{B42B39FF-8EC5-004B-9266-B962EAFCEEB0}" xr6:coauthVersionLast="47" xr6:coauthVersionMax="47" xr10:uidLastSave="{00000000-0000-0000-0000-000000000000}"/>
  <bookViews>
    <workbookView xWindow="-30240" yWindow="760" windowWidth="30240" windowHeight="18880" activeTab="4" xr2:uid="{8CBC193C-A794-2C49-831B-010B7268924A}"/>
  </bookViews>
  <sheets>
    <sheet name="LRZ1" sheetId="1" r:id="rId1"/>
    <sheet name="LRZ2,7" sheetId="2" r:id="rId2"/>
    <sheet name="LRZ3,5" sheetId="3" r:id="rId3"/>
    <sheet name="LRZ6" sheetId="4" r:id="rId4"/>
    <sheet name="LRZ8,9,1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4" l="1"/>
  <c r="D12" i="4"/>
  <c r="D11" i="4"/>
  <c r="D10" i="4"/>
  <c r="D9" i="4"/>
  <c r="E9" i="4" s="1"/>
  <c r="D8" i="4"/>
  <c r="E8" i="4" s="1"/>
  <c r="D7" i="4"/>
  <c r="E7" i="4" s="1"/>
  <c r="D6" i="4"/>
  <c r="D5" i="4"/>
  <c r="D4" i="4"/>
  <c r="D3" i="4"/>
  <c r="D13" i="3"/>
  <c r="D12" i="3"/>
  <c r="D11" i="3"/>
  <c r="D10" i="3"/>
  <c r="D9" i="3"/>
  <c r="D8" i="3"/>
  <c r="E8" i="3" s="1"/>
  <c r="D7" i="3"/>
  <c r="E7" i="3" s="1"/>
  <c r="D6" i="3"/>
  <c r="D5" i="3"/>
  <c r="D4" i="3"/>
  <c r="D3" i="3"/>
  <c r="D13" i="2"/>
  <c r="D12" i="2"/>
  <c r="D11" i="2"/>
  <c r="D10" i="2"/>
  <c r="D9" i="2"/>
  <c r="D8" i="2"/>
  <c r="D7" i="2"/>
  <c r="E7" i="2" s="1"/>
  <c r="D6" i="2"/>
  <c r="D5" i="2"/>
  <c r="D4" i="2"/>
  <c r="D3" i="2"/>
  <c r="D13" i="1"/>
  <c r="D12" i="1"/>
  <c r="D11" i="1"/>
  <c r="D10" i="1"/>
  <c r="D9" i="1"/>
  <c r="D8" i="1"/>
  <c r="D7" i="1"/>
  <c r="D6" i="1"/>
  <c r="D5" i="1"/>
  <c r="D4" i="1"/>
  <c r="D3" i="1"/>
  <c r="E13" i="4"/>
  <c r="E12" i="4"/>
  <c r="E11" i="4"/>
  <c r="E10" i="4"/>
  <c r="E5" i="4"/>
  <c r="E4" i="4"/>
  <c r="E13" i="3"/>
  <c r="E12" i="3"/>
  <c r="E11" i="3"/>
  <c r="E10" i="3"/>
  <c r="E9" i="3"/>
  <c r="E5" i="3"/>
  <c r="E4" i="3"/>
  <c r="E3" i="3"/>
  <c r="E13" i="2"/>
  <c r="E12" i="2"/>
  <c r="E11" i="2"/>
  <c r="E10" i="2"/>
  <c r="E9" i="2"/>
  <c r="E8" i="2"/>
  <c r="E5" i="2"/>
  <c r="E4" i="2"/>
  <c r="E3" i="2"/>
  <c r="E13" i="1"/>
  <c r="E12" i="1"/>
  <c r="E11" i="1"/>
  <c r="E10" i="1"/>
  <c r="E9" i="1"/>
  <c r="E8" i="1"/>
  <c r="E7" i="1"/>
  <c r="E5" i="1"/>
  <c r="E4" i="1"/>
  <c r="E3" i="1"/>
  <c r="D4" i="5"/>
  <c r="D5" i="5"/>
  <c r="D6" i="5"/>
  <c r="D7" i="5"/>
  <c r="D8" i="5"/>
  <c r="D9" i="5"/>
  <c r="D10" i="5"/>
  <c r="E10" i="5" s="1"/>
  <c r="D11" i="5"/>
  <c r="E11" i="5" s="1"/>
  <c r="D12" i="5"/>
  <c r="D13" i="5"/>
  <c r="D3" i="5"/>
  <c r="E4" i="5"/>
  <c r="E5" i="5"/>
  <c r="E7" i="5"/>
  <c r="E8" i="5"/>
  <c r="E9" i="5"/>
  <c r="E12" i="5"/>
  <c r="E13" i="5"/>
  <c r="E3" i="5"/>
</calcChain>
</file>

<file path=xl/sharedStrings.xml><?xml version="1.0" encoding="utf-8"?>
<sst xmlns="http://schemas.openxmlformats.org/spreadsheetml/2006/main" count="20" uniqueCount="4">
  <si>
    <t>RES DELTA</t>
  </si>
  <si>
    <t>DC capacity cumulate</t>
  </si>
  <si>
    <t>DC DELTA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</si>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</sst>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2835-E465-BF46-A037-AC82B38FA32A}">
  <dimension ref="A1:E13"/>
  <sheetViews>
    <sheetView workbookViewId="0">
      <selection activeCell="E3" sqref="E3:E13"/>
    </sheetView>
  </sheetViews>
  <sheetFormatPr baseColWidth="10" defaultRowHeight="16" x14ac:dyDescent="0.2"/>
  <cols>
    <col min="3" max="3" width="18.832031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0</v>
      </c>
      <c r="C2">
        <v>0</v>
      </c>
    </row>
    <row r="3" spans="1:5" x14ac:dyDescent="0.2">
      <c r="A3">
        <v>2020</v>
      </c>
      <c r="B3">
        <v>568.64002000000255</v>
      </c>
      <c r="C3">
        <v>0.95399999999999996</v>
      </c>
      <c r="D3">
        <f>(C3-C2)*8760*0.8/1000</f>
        <v>6.685632</v>
      </c>
      <c r="E3">
        <f>IF(MAX(B3,0)+MAX(D3,0)&gt;0, MAX(D3,0)/(MAX(B3,0)+MAX(D3,0)), "")</f>
        <v>1.1620604742303356E-2</v>
      </c>
    </row>
    <row r="4" spans="1:5" x14ac:dyDescent="0.2">
      <c r="A4">
        <v>2021</v>
      </c>
      <c r="B4">
        <v>152.23295999999755</v>
      </c>
      <c r="C4">
        <v>139.358</v>
      </c>
      <c r="D4">
        <f t="shared" ref="D4:D13" si="0">(C4-C3)*8760*0.8/1000</f>
        <v>969.93523200000004</v>
      </c>
      <c r="E4">
        <f t="shared" ref="E4:E13" si="1">IF(MAX(B4,0)+MAX(D4,0)&gt;0, MAX(D4,0)/(MAX(B4,0)+MAX(D4,0)), "")</f>
        <v>0.86434033589146864</v>
      </c>
    </row>
    <row r="5" spans="1:5" x14ac:dyDescent="0.2">
      <c r="A5">
        <v>2022</v>
      </c>
      <c r="B5">
        <v>555.76104000000123</v>
      </c>
      <c r="C5">
        <v>580.74300000000005</v>
      </c>
      <c r="D5">
        <f t="shared" si="0"/>
        <v>3093.2260800000004</v>
      </c>
      <c r="E5">
        <f t="shared" si="1"/>
        <v>0.84769443636731689</v>
      </c>
    </row>
    <row r="6" spans="1:5" x14ac:dyDescent="0.2">
      <c r="A6">
        <v>2023</v>
      </c>
      <c r="B6">
        <v>-599.78600999999981</v>
      </c>
      <c r="C6">
        <v>691.78099999999995</v>
      </c>
      <c r="D6">
        <f t="shared" si="0"/>
        <v>778.15430399999934</v>
      </c>
      <c r="E6">
        <v>0</v>
      </c>
    </row>
    <row r="7" spans="1:5" x14ac:dyDescent="0.2">
      <c r="A7">
        <v>2024</v>
      </c>
      <c r="B7">
        <v>-690.13883999999962</v>
      </c>
      <c r="C7">
        <v>746.83299999999997</v>
      </c>
      <c r="D7">
        <f t="shared" si="0"/>
        <v>385.80441600000017</v>
      </c>
      <c r="E7">
        <f t="shared" si="1"/>
        <v>1</v>
      </c>
    </row>
    <row r="8" spans="1:5" x14ac:dyDescent="0.2">
      <c r="A8">
        <v>2025</v>
      </c>
      <c r="B8">
        <v>408.26435333300105</v>
      </c>
      <c r="C8">
        <v>1004.333</v>
      </c>
      <c r="D8">
        <f t="shared" si="0"/>
        <v>1804.56</v>
      </c>
      <c r="E8">
        <f t="shared" si="1"/>
        <v>0.81550078626075084</v>
      </c>
    </row>
    <row r="9" spans="1:5" x14ac:dyDescent="0.2">
      <c r="A9">
        <v>2026</v>
      </c>
      <c r="B9">
        <v>83.425669569987804</v>
      </c>
      <c r="C9">
        <v>1128.9159999999999</v>
      </c>
      <c r="D9">
        <f t="shared" si="0"/>
        <v>873.07766399999991</v>
      </c>
      <c r="E9">
        <f t="shared" si="1"/>
        <v>0.91278057624889242</v>
      </c>
    </row>
    <row r="10" spans="1:5" x14ac:dyDescent="0.2">
      <c r="A10">
        <v>2027</v>
      </c>
      <c r="B10">
        <v>1771.1408692493387</v>
      </c>
      <c r="C10">
        <v>1465.999</v>
      </c>
      <c r="D10">
        <f t="shared" si="0"/>
        <v>2362.2776640000002</v>
      </c>
      <c r="E10">
        <f t="shared" si="1"/>
        <v>0.57150700927035814</v>
      </c>
    </row>
    <row r="11" spans="1:5" x14ac:dyDescent="0.2">
      <c r="A11">
        <v>2028</v>
      </c>
      <c r="B11">
        <v>269.93441986559264</v>
      </c>
      <c r="C11">
        <v>1754.5820000000001</v>
      </c>
      <c r="D11">
        <f t="shared" si="0"/>
        <v>2022.3896640000005</v>
      </c>
      <c r="E11">
        <f t="shared" si="1"/>
        <v>0.88224421591802304</v>
      </c>
    </row>
    <row r="12" spans="1:5" x14ac:dyDescent="0.2">
      <c r="A12">
        <v>2029</v>
      </c>
      <c r="B12">
        <v>909.96494745333985</v>
      </c>
      <c r="C12">
        <v>2166.3310000000001</v>
      </c>
      <c r="D12">
        <f t="shared" si="0"/>
        <v>2885.5369920000007</v>
      </c>
      <c r="E12">
        <f t="shared" si="1"/>
        <v>0.76025175010596868</v>
      </c>
    </row>
    <row r="13" spans="1:5" x14ac:dyDescent="0.2">
      <c r="A13">
        <v>2030</v>
      </c>
      <c r="B13">
        <v>1060.9999715738086</v>
      </c>
      <c r="C13">
        <v>2199.0320000000002</v>
      </c>
      <c r="D13">
        <f t="shared" si="0"/>
        <v>229.16860800000015</v>
      </c>
      <c r="E13">
        <f t="shared" si="1"/>
        <v>0.17762687111455092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B11A-6F7C-6C44-B05B-892FDC055600}">
  <dimension ref="A1:E13"/>
  <sheetViews>
    <sheetView workbookViewId="0">
      <selection activeCell="E3" sqref="E3:E13"/>
    </sheetView>
  </sheetViews>
  <sheetFormatPr baseColWidth="10" defaultRowHeight="16" x14ac:dyDescent="0.2"/>
  <cols>
    <col min="3" max="3" width="18.832031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0</v>
      </c>
      <c r="C2">
        <v>0</v>
      </c>
    </row>
    <row r="3" spans="1:5" x14ac:dyDescent="0.2">
      <c r="A3">
        <v>2020</v>
      </c>
      <c r="B3">
        <v>3218.5608100000027</v>
      </c>
      <c r="C3">
        <v>0</v>
      </c>
      <c r="D3">
        <f>(C3-C2)*8760*0.8/1000</f>
        <v>0</v>
      </c>
      <c r="E3">
        <f>IF(MAX(B3,0)+MAX(D3,0)&gt;0, MAX(D3,0)/(MAX(B3,0)+MAX(D3,0)), "")</f>
        <v>0</v>
      </c>
    </row>
    <row r="4" spans="1:5" x14ac:dyDescent="0.2">
      <c r="A4">
        <v>2021</v>
      </c>
      <c r="B4">
        <v>22.501189999995404</v>
      </c>
      <c r="C4">
        <v>2.9</v>
      </c>
      <c r="D4">
        <f t="shared" ref="D4:D13" si="0">(C4-C3)*8760*0.8/1000</f>
        <v>20.3232</v>
      </c>
      <c r="E4">
        <f t="shared" ref="E4:E13" si="1">IF(MAX(B4,0)+MAX(D4,0)&gt;0, MAX(D4,0)/(MAX(B4,0)+MAX(D4,0)), "")</f>
        <v>0.47457068273481962</v>
      </c>
    </row>
    <row r="5" spans="1:5" x14ac:dyDescent="0.2">
      <c r="A5">
        <v>2022</v>
      </c>
      <c r="B5">
        <v>-809.24793999999383</v>
      </c>
      <c r="C5">
        <v>15.202</v>
      </c>
      <c r="D5">
        <f t="shared" si="0"/>
        <v>86.21241599999999</v>
      </c>
      <c r="E5">
        <f t="shared" si="1"/>
        <v>1</v>
      </c>
    </row>
    <row r="6" spans="1:5" x14ac:dyDescent="0.2">
      <c r="A6">
        <v>2023</v>
      </c>
      <c r="B6">
        <v>-3170.3210900000049</v>
      </c>
      <c r="C6">
        <v>18.766999999999999</v>
      </c>
      <c r="D6">
        <f t="shared" si="0"/>
        <v>24.983519999999995</v>
      </c>
      <c r="E6">
        <v>0</v>
      </c>
    </row>
    <row r="7" spans="1:5" x14ac:dyDescent="0.2">
      <c r="A7">
        <v>2024</v>
      </c>
      <c r="B7">
        <v>873.05793999999878</v>
      </c>
      <c r="C7">
        <v>137.61199999999999</v>
      </c>
      <c r="D7">
        <f t="shared" si="0"/>
        <v>832.86576000000002</v>
      </c>
      <c r="E7">
        <f t="shared" si="1"/>
        <v>0.48821981897549144</v>
      </c>
    </row>
    <row r="8" spans="1:5" x14ac:dyDescent="0.2">
      <c r="A8">
        <v>2025</v>
      </c>
      <c r="B8">
        <v>650.81994014700467</v>
      </c>
      <c r="C8">
        <v>254.61199999999999</v>
      </c>
      <c r="D8">
        <f t="shared" si="0"/>
        <v>819.93600000000004</v>
      </c>
      <c r="E8">
        <f t="shared" si="1"/>
        <v>0.55749290389950479</v>
      </c>
    </row>
    <row r="9" spans="1:5" x14ac:dyDescent="0.2">
      <c r="A9">
        <v>2026</v>
      </c>
      <c r="B9">
        <v>2628.1104882018553</v>
      </c>
      <c r="C9">
        <v>371.61200000000002</v>
      </c>
      <c r="D9">
        <f t="shared" si="0"/>
        <v>819.93600000000026</v>
      </c>
      <c r="E9">
        <f t="shared" si="1"/>
        <v>0.23779725789822342</v>
      </c>
    </row>
    <row r="10" spans="1:5" x14ac:dyDescent="0.2">
      <c r="A10">
        <v>2027</v>
      </c>
      <c r="B10">
        <v>300.4132883255952</v>
      </c>
      <c r="C10">
        <v>488.61200000000002</v>
      </c>
      <c r="D10">
        <f t="shared" si="0"/>
        <v>819.93600000000004</v>
      </c>
      <c r="E10">
        <f t="shared" si="1"/>
        <v>0.73185747386462452</v>
      </c>
    </row>
    <row r="11" spans="1:5" x14ac:dyDescent="0.2">
      <c r="A11">
        <v>2028</v>
      </c>
      <c r="B11">
        <v>-532.8448166400849</v>
      </c>
      <c r="C11">
        <v>605.61199999999997</v>
      </c>
      <c r="D11">
        <f t="shared" si="0"/>
        <v>819.93599999999969</v>
      </c>
      <c r="E11">
        <f t="shared" si="1"/>
        <v>1</v>
      </c>
    </row>
    <row r="12" spans="1:5" x14ac:dyDescent="0.2">
      <c r="A12">
        <v>2029</v>
      </c>
      <c r="B12">
        <v>715.80004468242987</v>
      </c>
      <c r="C12">
        <v>605.61199999999997</v>
      </c>
      <c r="D12">
        <f t="shared" si="0"/>
        <v>0</v>
      </c>
      <c r="E12">
        <f t="shared" si="1"/>
        <v>0</v>
      </c>
    </row>
    <row r="13" spans="1:5" x14ac:dyDescent="0.2">
      <c r="A13">
        <v>2030</v>
      </c>
      <c r="B13">
        <v>754.22677265489619</v>
      </c>
      <c r="C13">
        <v>605.61199999999997</v>
      </c>
      <c r="D13">
        <f t="shared" si="0"/>
        <v>0</v>
      </c>
      <c r="E13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C615-D90B-AE4E-98B3-8DB796FA9438}">
  <dimension ref="A1:E13"/>
  <sheetViews>
    <sheetView workbookViewId="0">
      <selection activeCell="E3" sqref="E3:E13"/>
    </sheetView>
  </sheetViews>
  <sheetFormatPr baseColWidth="10" defaultRowHeight="16" x14ac:dyDescent="0.2"/>
  <cols>
    <col min="3" max="3" width="18.832031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0</v>
      </c>
      <c r="C2">
        <v>0</v>
      </c>
    </row>
    <row r="3" spans="1:5" x14ac:dyDescent="0.2">
      <c r="A3">
        <v>2020</v>
      </c>
      <c r="B3">
        <v>-668.39401999999973</v>
      </c>
      <c r="C3">
        <v>45.83</v>
      </c>
      <c r="D3">
        <f>(C3-C2)*8760*0.8/1000</f>
        <v>321.17664000000002</v>
      </c>
      <c r="E3">
        <f>IF(MAX(B3,0)+MAX(D3,0)&gt;0, MAX(D3,0)/(MAX(B3,0)+MAX(D3,0)), "")</f>
        <v>1</v>
      </c>
    </row>
    <row r="4" spans="1:5" x14ac:dyDescent="0.2">
      <c r="A4">
        <v>2021</v>
      </c>
      <c r="B4">
        <v>802.3110400000005</v>
      </c>
      <c r="C4">
        <v>46.83</v>
      </c>
      <c r="D4">
        <f t="shared" ref="D4:D13" si="0">(C4-C3)*8760*0.8/1000</f>
        <v>7.008</v>
      </c>
      <c r="E4">
        <f t="shared" ref="E4:E13" si="1">IF(MAX(B4,0)+MAX(D4,0)&gt;0, MAX(D4,0)/(MAX(B4,0)+MAX(D4,0)), "")</f>
        <v>8.659131508879361E-3</v>
      </c>
    </row>
    <row r="5" spans="1:5" x14ac:dyDescent="0.2">
      <c r="A5">
        <v>2022</v>
      </c>
      <c r="B5">
        <v>2117.6650199999931</v>
      </c>
      <c r="C5">
        <v>127.408</v>
      </c>
      <c r="D5">
        <f t="shared" si="0"/>
        <v>564.69062400000007</v>
      </c>
      <c r="E5">
        <f t="shared" si="1"/>
        <v>0.21052041524140322</v>
      </c>
    </row>
    <row r="6" spans="1:5" x14ac:dyDescent="0.2">
      <c r="A6">
        <v>2023</v>
      </c>
      <c r="B6">
        <v>-2891.4110400000063</v>
      </c>
      <c r="C6">
        <v>530.50400000000002</v>
      </c>
      <c r="D6">
        <f t="shared" si="0"/>
        <v>2824.8967680000001</v>
      </c>
      <c r="E6">
        <v>0</v>
      </c>
    </row>
    <row r="7" spans="1:5" x14ac:dyDescent="0.2">
      <c r="A7">
        <v>2024</v>
      </c>
      <c r="B7">
        <v>744.29282000000967</v>
      </c>
      <c r="C7">
        <v>1021.453</v>
      </c>
      <c r="D7">
        <f t="shared" si="0"/>
        <v>3440.5705919999996</v>
      </c>
      <c r="E7">
        <f t="shared" si="1"/>
        <v>0.82214644858760122</v>
      </c>
    </row>
    <row r="8" spans="1:5" x14ac:dyDescent="0.2">
      <c r="A8">
        <v>2025</v>
      </c>
      <c r="B8">
        <v>528.0524635049951</v>
      </c>
      <c r="C8">
        <v>1121.386</v>
      </c>
      <c r="D8">
        <f t="shared" si="0"/>
        <v>700.33046400000001</v>
      </c>
      <c r="E8">
        <f t="shared" si="1"/>
        <v>0.57012389892332827</v>
      </c>
    </row>
    <row r="9" spans="1:5" x14ac:dyDescent="0.2">
      <c r="A9">
        <v>2026</v>
      </c>
      <c r="B9">
        <v>-86.391897564964893</v>
      </c>
      <c r="C9">
        <v>1395.47</v>
      </c>
      <c r="D9">
        <f t="shared" si="0"/>
        <v>1920.7806720000003</v>
      </c>
      <c r="E9">
        <f t="shared" si="1"/>
        <v>1</v>
      </c>
    </row>
    <row r="10" spans="1:5" x14ac:dyDescent="0.2">
      <c r="A10">
        <v>2027</v>
      </c>
      <c r="B10">
        <v>705.17996212556318</v>
      </c>
      <c r="C10">
        <v>1644.9269999999999</v>
      </c>
      <c r="D10">
        <f t="shared" si="0"/>
        <v>1748.1946559999992</v>
      </c>
      <c r="E10">
        <f t="shared" si="1"/>
        <v>0.71256735236613078</v>
      </c>
    </row>
    <row r="11" spans="1:5" x14ac:dyDescent="0.2">
      <c r="A11">
        <v>2028</v>
      </c>
      <c r="B11">
        <v>370.35036963407765</v>
      </c>
      <c r="C11">
        <v>2280.4839999999999</v>
      </c>
      <c r="D11">
        <f t="shared" si="0"/>
        <v>4453.9834559999999</v>
      </c>
      <c r="E11">
        <f t="shared" si="1"/>
        <v>0.92323284768018699</v>
      </c>
    </row>
    <row r="12" spans="1:5" x14ac:dyDescent="0.2">
      <c r="A12">
        <v>2029</v>
      </c>
      <c r="B12">
        <v>1590.5025824263721</v>
      </c>
      <c r="C12">
        <v>2335.2179999999998</v>
      </c>
      <c r="D12">
        <f t="shared" si="0"/>
        <v>383.57587199999949</v>
      </c>
      <c r="E12">
        <f t="shared" si="1"/>
        <v>0.19430629575026648</v>
      </c>
    </row>
    <row r="13" spans="1:5" x14ac:dyDescent="0.2">
      <c r="A13">
        <v>2030</v>
      </c>
      <c r="B13">
        <v>1532.5342031266118</v>
      </c>
      <c r="C13">
        <v>2585.2179999999998</v>
      </c>
      <c r="D13">
        <f t="shared" si="0"/>
        <v>1752</v>
      </c>
      <c r="E13">
        <f t="shared" si="1"/>
        <v>0.53340896810641736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A6003-065A-8142-972A-FE9470A438AE}">
  <dimension ref="A1:E13"/>
  <sheetViews>
    <sheetView workbookViewId="0">
      <selection activeCell="E3" sqref="E3:E13"/>
    </sheetView>
  </sheetViews>
  <sheetFormatPr baseColWidth="10" defaultRowHeight="16" x14ac:dyDescent="0.2"/>
  <cols>
    <col min="3" max="3" width="18.832031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0</v>
      </c>
      <c r="C2">
        <v>0</v>
      </c>
    </row>
    <row r="3" spans="1:5" x14ac:dyDescent="0.2">
      <c r="A3">
        <v>2020</v>
      </c>
      <c r="B3">
        <v>-370.87900000000081</v>
      </c>
      <c r="C3">
        <v>0</v>
      </c>
      <c r="D3">
        <f>(C3-C2)*8760*0.8/1000</f>
        <v>0</v>
      </c>
      <c r="E3">
        <v>0</v>
      </c>
    </row>
    <row r="4" spans="1:5" x14ac:dyDescent="0.2">
      <c r="A4">
        <v>2021</v>
      </c>
      <c r="B4">
        <v>593.61499000000185</v>
      </c>
      <c r="C4">
        <v>2.1179999999999999</v>
      </c>
      <c r="D4">
        <f t="shared" ref="D4:D13" si="0">(C4-C3)*8760*0.8/1000</f>
        <v>14.842944000000001</v>
      </c>
      <c r="E4">
        <f t="shared" ref="E4:E13" si="1">IF(MAX(B4,0)+MAX(D4,0)&gt;0, MAX(D4,0)/(MAX(B4,0)+MAX(D4,0)), "")</f>
        <v>2.4394363472956138E-2</v>
      </c>
    </row>
    <row r="5" spans="1:5" x14ac:dyDescent="0.2">
      <c r="A5">
        <v>2022</v>
      </c>
      <c r="B5">
        <v>586.52797999999893</v>
      </c>
      <c r="C5">
        <v>168.61799999999999</v>
      </c>
      <c r="D5">
        <f t="shared" si="0"/>
        <v>1166.8320000000001</v>
      </c>
      <c r="E5">
        <f t="shared" si="1"/>
        <v>0.66548342229186774</v>
      </c>
    </row>
    <row r="6" spans="1:5" x14ac:dyDescent="0.2">
      <c r="A6">
        <v>2023</v>
      </c>
      <c r="B6">
        <v>-2319.2549700000018</v>
      </c>
      <c r="C6">
        <v>169.74299999999999</v>
      </c>
      <c r="D6">
        <f t="shared" si="0"/>
        <v>7.8840000000000003</v>
      </c>
      <c r="E6">
        <v>0</v>
      </c>
    </row>
    <row r="7" spans="1:5" x14ac:dyDescent="0.2">
      <c r="A7">
        <v>2024</v>
      </c>
      <c r="B7">
        <v>1482.4289199999985</v>
      </c>
      <c r="C7">
        <v>249.24299999999999</v>
      </c>
      <c r="D7">
        <f t="shared" si="0"/>
        <v>557.13599999999997</v>
      </c>
      <c r="E7">
        <f t="shared" si="1"/>
        <v>0.27316414130127342</v>
      </c>
    </row>
    <row r="8" spans="1:5" x14ac:dyDescent="0.2">
      <c r="A8">
        <v>2025</v>
      </c>
      <c r="B8">
        <v>534.8689180729998</v>
      </c>
      <c r="C8">
        <v>327.524</v>
      </c>
      <c r="D8">
        <f t="shared" si="0"/>
        <v>548.59324800000002</v>
      </c>
      <c r="E8">
        <f t="shared" si="1"/>
        <v>0.50633355291802384</v>
      </c>
    </row>
    <row r="9" spans="1:5" x14ac:dyDescent="0.2">
      <c r="A9">
        <v>2026</v>
      </c>
      <c r="B9">
        <v>74.26438986575522</v>
      </c>
      <c r="C9">
        <v>415.92399999999998</v>
      </c>
      <c r="D9">
        <f t="shared" si="0"/>
        <v>619.50719999999978</v>
      </c>
      <c r="E9">
        <f t="shared" si="1"/>
        <v>0.89295556210347937</v>
      </c>
    </row>
    <row r="10" spans="1:5" x14ac:dyDescent="0.2">
      <c r="A10">
        <v>2027</v>
      </c>
      <c r="B10">
        <v>713.82999052050582</v>
      </c>
      <c r="C10">
        <v>455.92399999999998</v>
      </c>
      <c r="D10">
        <f t="shared" si="0"/>
        <v>280.32</v>
      </c>
      <c r="E10">
        <f t="shared" si="1"/>
        <v>0.28196952439061357</v>
      </c>
    </row>
    <row r="11" spans="1:5" x14ac:dyDescent="0.2">
      <c r="A11">
        <v>2028</v>
      </c>
      <c r="B11">
        <v>442.17133092426957</v>
      </c>
      <c r="C11">
        <v>495.92399999999998</v>
      </c>
      <c r="D11">
        <f t="shared" si="0"/>
        <v>280.32</v>
      </c>
      <c r="E11">
        <f t="shared" si="1"/>
        <v>0.38799081456298157</v>
      </c>
    </row>
    <row r="12" spans="1:5" x14ac:dyDescent="0.2">
      <c r="A12">
        <v>2029</v>
      </c>
      <c r="B12">
        <v>1305.007884665014</v>
      </c>
      <c r="C12">
        <v>535.92399999999998</v>
      </c>
      <c r="D12">
        <f t="shared" si="0"/>
        <v>280.32</v>
      </c>
      <c r="E12">
        <f t="shared" si="1"/>
        <v>0.17682146558548217</v>
      </c>
    </row>
    <row r="13" spans="1:5" x14ac:dyDescent="0.2">
      <c r="A13">
        <v>2030</v>
      </c>
      <c r="B13">
        <v>1204.888239542408</v>
      </c>
      <c r="C13">
        <v>587.92399999999998</v>
      </c>
      <c r="D13">
        <f t="shared" si="0"/>
        <v>364.416</v>
      </c>
      <c r="E13">
        <f t="shared" si="1"/>
        <v>0.23221501020494265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1B8E-D013-6147-BE1E-0E996191325C}">
  <dimension ref="A1:E13"/>
  <sheetViews>
    <sheetView tabSelected="1" workbookViewId="0">
      <selection activeCell="E3" sqref="E3:E13"/>
    </sheetView>
  </sheetViews>
  <sheetFormatPr baseColWidth="10" defaultRowHeight="16" x14ac:dyDescent="0.2"/>
  <cols>
    <col min="3" max="3" width="18.832031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2019</v>
      </c>
      <c r="B2">
        <v>0</v>
      </c>
      <c r="C2">
        <v>0</v>
      </c>
    </row>
    <row r="3" spans="1:5" x14ac:dyDescent="0.2">
      <c r="A3">
        <v>2020</v>
      </c>
      <c r="B3">
        <v>-2020.4130000000005</v>
      </c>
      <c r="C3">
        <v>0.45</v>
      </c>
      <c r="D3">
        <f>(C3-C2)*8760*0.8/1000</f>
        <v>3.1536000000000004</v>
      </c>
      <c r="E3">
        <f>IF(MAX(B3,0)+MAX(D3,0)&gt;0, MAX(D3,0)/(MAX(B3,0)+MAX(D3,0)), "")</f>
        <v>1</v>
      </c>
    </row>
    <row r="4" spans="1:5" x14ac:dyDescent="0.2">
      <c r="A4">
        <v>2021</v>
      </c>
      <c r="B4">
        <v>1480.390000000014</v>
      </c>
      <c r="C4">
        <v>0.52500000000000002</v>
      </c>
      <c r="D4">
        <f t="shared" ref="D4:D13" si="0">(C4-C3)*8760*0.8/1000</f>
        <v>0.52560000000000018</v>
      </c>
      <c r="E4">
        <f t="shared" ref="E4:E13" si="1">IF(MAX(B4,0)+MAX(D4,0)&gt;0, MAX(D4,0)/(MAX(B4,0)+MAX(D4,0)), "")</f>
        <v>3.5491556709916166E-4</v>
      </c>
    </row>
    <row r="5" spans="1:5" x14ac:dyDescent="0.2">
      <c r="A5">
        <v>2022</v>
      </c>
      <c r="B5">
        <v>1717.0709899999929</v>
      </c>
      <c r="C5">
        <v>2.4750000000000001</v>
      </c>
      <c r="D5">
        <f t="shared" si="0"/>
        <v>13.6656</v>
      </c>
      <c r="E5">
        <f t="shared" si="1"/>
        <v>7.8958289083147278E-3</v>
      </c>
    </row>
    <row r="6" spans="1:5" x14ac:dyDescent="0.2">
      <c r="A6">
        <v>2023</v>
      </c>
      <c r="B6">
        <v>-948.51502000000619</v>
      </c>
      <c r="C6">
        <v>2.4750000000000001</v>
      </c>
      <c r="D6">
        <f t="shared" si="0"/>
        <v>0</v>
      </c>
      <c r="E6">
        <v>0</v>
      </c>
    </row>
    <row r="7" spans="1:5" x14ac:dyDescent="0.2">
      <c r="A7">
        <v>2024</v>
      </c>
      <c r="B7">
        <v>330.71366000000853</v>
      </c>
      <c r="C7">
        <v>2.5499999999999998</v>
      </c>
      <c r="D7">
        <f t="shared" si="0"/>
        <v>0.52559999999999807</v>
      </c>
      <c r="E7">
        <f t="shared" si="1"/>
        <v>1.5867684283559398E-3</v>
      </c>
    </row>
    <row r="8" spans="1:5" x14ac:dyDescent="0.2">
      <c r="A8">
        <v>2025</v>
      </c>
      <c r="B8">
        <v>696.85399086399411</v>
      </c>
      <c r="C8">
        <v>194.55</v>
      </c>
      <c r="D8">
        <f t="shared" si="0"/>
        <v>1345.5360000000001</v>
      </c>
      <c r="E8">
        <f t="shared" si="1"/>
        <v>0.65880463869233741</v>
      </c>
    </row>
    <row r="9" spans="1:5" x14ac:dyDescent="0.2">
      <c r="A9">
        <v>2026</v>
      </c>
      <c r="B9">
        <v>1003.5691002844542</v>
      </c>
      <c r="C9">
        <v>527.17499999999995</v>
      </c>
      <c r="D9">
        <f t="shared" si="0"/>
        <v>2331.0359999999996</v>
      </c>
      <c r="E9">
        <f t="shared" si="1"/>
        <v>0.69904409364729692</v>
      </c>
    </row>
    <row r="10" spans="1:5" x14ac:dyDescent="0.2">
      <c r="A10">
        <v>2027</v>
      </c>
      <c r="B10">
        <v>1152.3426440177136</v>
      </c>
      <c r="C10">
        <v>1377.675</v>
      </c>
      <c r="D10">
        <f t="shared" si="0"/>
        <v>5960.3040000000001</v>
      </c>
      <c r="E10">
        <f t="shared" si="1"/>
        <v>0.83798679989439329</v>
      </c>
    </row>
    <row r="11" spans="1:5" x14ac:dyDescent="0.2">
      <c r="A11">
        <v>2028</v>
      </c>
      <c r="B11">
        <v>4073.7935282719118</v>
      </c>
      <c r="C11">
        <v>2135.424</v>
      </c>
      <c r="D11">
        <f t="shared" si="0"/>
        <v>5310.3049920000003</v>
      </c>
      <c r="E11">
        <f t="shared" si="1"/>
        <v>0.56588333770457144</v>
      </c>
    </row>
    <row r="12" spans="1:5" x14ac:dyDescent="0.2">
      <c r="A12">
        <v>2029</v>
      </c>
      <c r="B12">
        <v>2141.0005100769486</v>
      </c>
      <c r="C12">
        <v>2331.424</v>
      </c>
      <c r="D12">
        <f t="shared" si="0"/>
        <v>1373.568</v>
      </c>
      <c r="E12">
        <f t="shared" si="1"/>
        <v>0.39082123340652331</v>
      </c>
    </row>
    <row r="13" spans="1:5" x14ac:dyDescent="0.2">
      <c r="A13">
        <v>2030</v>
      </c>
      <c r="B13">
        <v>2490.2098407911253</v>
      </c>
      <c r="C13">
        <v>2331.424</v>
      </c>
      <c r="D13">
        <f t="shared" si="0"/>
        <v>0</v>
      </c>
      <c r="E13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LRZ1</vt:lpstr>
      <vt:lpstr>LRZ2,7</vt:lpstr>
      <vt:lpstr>LRZ3,5</vt:lpstr>
      <vt:lpstr>LRZ6</vt:lpstr>
      <vt:lpstr>LRZ8,9,10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2025-10-06T19:24:41Z</dcterms:created>
  <dcterms:modified xsi:type="dcterms:W3CDTF">2025-10-08T01:26:10Z</dcterms:modified>
</cp:coreProperties>
</file>