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8970A42B-959E-BC4C-AFFA-D5B644CCC336}" xr6:coauthVersionLast="47" xr6:coauthVersionMax="47" xr10:uidLastSave="{00000000-0000-0000-0000-000000000000}"/>
  <bookViews>
    <workbookView xWindow="240" yWindow="500" windowWidth="18700" windowHeight="21100" xr2:uid="{00000000-000D-0000-FFFF-FFFF00000000}"/>
  </bookViews>
  <sheets>
    <sheet name="PUCT_Even_Year" sheetId="2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6" i="2"/>
  <c r="C15" i="2"/>
  <c r="C14" i="2"/>
  <c r="C13" i="2"/>
  <c r="A13" i="2"/>
  <c r="A16" i="2"/>
  <c r="A15" i="2"/>
  <c r="A14" i="2"/>
  <c r="A17" i="2"/>
  <c r="A12" i="2"/>
  <c r="C12" i="2"/>
  <c r="C8" i="2" l="1"/>
  <c r="D16" i="2" l="1"/>
  <c r="D17" i="2"/>
  <c r="D15" i="2"/>
  <c r="D12" i="2"/>
  <c r="D14" i="2"/>
  <c r="D13" i="2"/>
  <c r="C9" i="2"/>
  <c r="B15" i="2" l="1"/>
  <c r="B14" i="2"/>
  <c r="B12" i="2"/>
  <c r="B17" i="2"/>
  <c r="B16" i="2"/>
  <c r="B13" i="2"/>
</calcChain>
</file>

<file path=xl/sharedStrings.xml><?xml version="1.0" encoding="utf-8"?>
<sst xmlns="http://schemas.openxmlformats.org/spreadsheetml/2006/main" count="19" uniqueCount="15">
  <si>
    <t>POLR Territory</t>
  </si>
  <si>
    <t>Premise Type</t>
  </si>
  <si>
    <t># Active ESIIDs Total (3/31/2024)</t>
  </si>
  <si>
    <t>AEP TEXAS CENTRAL COMPANY (TDSP)</t>
  </si>
  <si>
    <t>Residential</t>
  </si>
  <si>
    <t>AEP TEXAS NORTH COMPANY (TDSP)</t>
  </si>
  <si>
    <t>CENTERPOINT ENERGY HOUSTON ELECTRIC LLC (TDSP)</t>
  </si>
  <si>
    <t>ONCOR ELECTRIC DELIVERY COMPANY LLC (TDSP)</t>
  </si>
  <si>
    <t>TEXAS-NEW MEXICO POWER CO (TDSP)</t>
  </si>
  <si>
    <t>Houston</t>
  </si>
  <si>
    <t>West</t>
  </si>
  <si>
    <t>South</t>
  </si>
  <si>
    <t>North</t>
  </si>
  <si>
    <t>ONCOR-NORTH</t>
  </si>
  <si>
    <t>ONCOR-WEST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</si>
</sst>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Tahoma"/>
      <family val="2"/>
    </font>
    <font>
      <sz val="8"/>
      <color theme="1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workbookViewId="0">
      <selection activeCell="B12" sqref="B12:B17"/>
    </sheetView>
  </sheetViews>
  <sheetFormatPr baseColWidth="10" defaultColWidth="9" defaultRowHeight="12.75" customHeight="1"/>
  <cols>
    <col min="1" max="1" width="45.19921875" bestFit="1" customWidth="1"/>
    <col min="2" max="2" width="10" bestFit="1" customWidth="1"/>
    <col min="3" max="3" width="25.3984375" bestFit="1" customWidth="1"/>
    <col min="4" max="4" width="11" bestFit="1" customWidth="1"/>
    <col min="5" max="6" width="10.59765625" bestFit="1" customWidth="1"/>
    <col min="7" max="7" width="11.59765625" customWidth="1"/>
    <col min="8" max="8" width="9.3984375" bestFit="1" customWidth="1"/>
    <col min="9" max="9" width="12.3984375" bestFit="1" customWidth="1"/>
  </cols>
  <sheetData>
    <row r="1" spans="1:9" ht="14" thickBot="1">
      <c r="A1" s="1" t="s">
        <v>0</v>
      </c>
      <c r="B1" s="1" t="s">
        <v>1</v>
      </c>
      <c r="C1" s="1" t="s">
        <v>2</v>
      </c>
      <c r="D1" s="1">
        <v>2024</v>
      </c>
      <c r="E1" s="1">
        <v>2023</v>
      </c>
      <c r="F1" s="1">
        <v>2022</v>
      </c>
      <c r="G1" s="1">
        <v>2021</v>
      </c>
      <c r="H1" s="1">
        <v>2020</v>
      </c>
      <c r="I1" s="1">
        <v>2019</v>
      </c>
    </row>
    <row r="2" spans="1:9" ht="14" thickBot="1">
      <c r="A2" s="2" t="s">
        <v>3</v>
      </c>
      <c r="B2" s="2" t="s">
        <v>4</v>
      </c>
      <c r="C2" s="3">
        <v>807716</v>
      </c>
      <c r="D2" s="3">
        <v>10627628401</v>
      </c>
      <c r="E2" s="3">
        <v>10872968</v>
      </c>
      <c r="F2" s="3">
        <v>11176911</v>
      </c>
      <c r="G2" s="3">
        <v>10425042</v>
      </c>
      <c r="H2" s="3">
        <v>10251273</v>
      </c>
      <c r="I2" s="3">
        <v>9987778798.3999996</v>
      </c>
    </row>
    <row r="3" spans="1:9" ht="14" thickBot="1">
      <c r="A3" s="2" t="s">
        <v>5</v>
      </c>
      <c r="B3" s="2" t="s">
        <v>4</v>
      </c>
      <c r="C3" s="3">
        <v>164075</v>
      </c>
      <c r="D3" s="3">
        <v>1937117080</v>
      </c>
      <c r="E3" s="3">
        <v>1946556</v>
      </c>
      <c r="F3" s="3">
        <v>2092525</v>
      </c>
      <c r="G3" s="3">
        <v>1863093</v>
      </c>
      <c r="H3" s="3">
        <v>1947268</v>
      </c>
      <c r="I3" s="3">
        <v>1853068822</v>
      </c>
    </row>
    <row r="4" spans="1:9" ht="14" thickBot="1">
      <c r="A4" s="2" t="s">
        <v>6</v>
      </c>
      <c r="B4" s="2" t="s">
        <v>4</v>
      </c>
      <c r="C4" s="3">
        <v>2496833</v>
      </c>
      <c r="D4" s="3">
        <v>33722524187</v>
      </c>
      <c r="E4" s="3">
        <v>33830427</v>
      </c>
      <c r="F4" s="3">
        <v>33675901</v>
      </c>
      <c r="G4" s="3">
        <v>30650030</v>
      </c>
      <c r="H4" s="3">
        <v>31244444</v>
      </c>
      <c r="I4" s="3">
        <v>30383541730</v>
      </c>
    </row>
    <row r="5" spans="1:9" ht="14" thickBot="1">
      <c r="A5" s="2" t="s">
        <v>7</v>
      </c>
      <c r="B5" s="2" t="s">
        <v>4</v>
      </c>
      <c r="C5" s="3">
        <v>3437435</v>
      </c>
      <c r="D5" s="3">
        <v>47582235941</v>
      </c>
      <c r="E5" s="3">
        <v>47997891</v>
      </c>
      <c r="F5" s="3">
        <v>48711605</v>
      </c>
      <c r="G5" s="3">
        <v>44863259</v>
      </c>
      <c r="H5" s="3">
        <v>44319529</v>
      </c>
      <c r="I5" s="3">
        <v>44216595703</v>
      </c>
    </row>
    <row r="6" spans="1:9" ht="14" thickBot="1">
      <c r="A6" s="2" t="s">
        <v>8</v>
      </c>
      <c r="B6" s="2" t="s">
        <v>4</v>
      </c>
      <c r="C6" s="3">
        <v>233791</v>
      </c>
      <c r="D6" s="3">
        <v>3261746095</v>
      </c>
      <c r="E6" s="3">
        <v>3287167</v>
      </c>
      <c r="F6" s="3">
        <v>3253742</v>
      </c>
      <c r="G6" s="3">
        <v>3027726</v>
      </c>
      <c r="H6" s="3">
        <v>3060391</v>
      </c>
      <c r="I6" s="3">
        <v>3009972128.5999999</v>
      </c>
    </row>
    <row r="8" spans="1:9" ht="12.75" customHeight="1" thickBot="1">
      <c r="A8" s="2" t="s">
        <v>13</v>
      </c>
      <c r="B8" s="2">
        <v>522638</v>
      </c>
      <c r="C8" s="2">
        <f>B8/(B8+B9)</f>
        <v>0.91283624112075423</v>
      </c>
    </row>
    <row r="9" spans="1:9" ht="12.75" customHeight="1" thickBot="1">
      <c r="A9" s="4" t="s">
        <v>14</v>
      </c>
      <c r="B9" s="2">
        <v>49905</v>
      </c>
      <c r="C9" s="2">
        <f>1-C8</f>
        <v>8.7163758879245767E-2</v>
      </c>
    </row>
    <row r="10" spans="1:9" ht="12.75" customHeight="1" thickBot="1"/>
    <row r="11" spans="1:9" ht="12.75" customHeight="1" thickBot="1">
      <c r="A11" s="1" t="s">
        <v>11</v>
      </c>
      <c r="B11" s="1" t="s">
        <v>10</v>
      </c>
      <c r="C11" s="1" t="s">
        <v>9</v>
      </c>
      <c r="D11" s="1" t="s">
        <v>12</v>
      </c>
    </row>
    <row r="12" spans="1:9" ht="12.75" customHeight="1">
      <c r="A12" s="4">
        <f>D2/10^6</f>
        <v>10627.628401</v>
      </c>
      <c r="B12" s="4">
        <f>(D3+C9*D5+D6)/10^6</f>
        <v>9346.3097154967054</v>
      </c>
      <c r="C12" s="4">
        <f>D4/10^6</f>
        <v>33722.524187000003</v>
      </c>
      <c r="D12" s="4">
        <f>(D5*C8)/10^6</f>
        <v>43434.789400503294</v>
      </c>
    </row>
    <row r="13" spans="1:9" ht="12.75" customHeight="1">
      <c r="A13" s="4">
        <f>E2/10^3</f>
        <v>10872.968000000001</v>
      </c>
      <c r="B13" s="4">
        <f>(E3+C9*E5+E6)/10^3</f>
        <v>9417.39959783632</v>
      </c>
      <c r="C13" s="4">
        <f>E4/10^3</f>
        <v>33830.427000000003</v>
      </c>
      <c r="D13" s="4">
        <f>(E5*C8)/10^3</f>
        <v>43814.214402163678</v>
      </c>
    </row>
    <row r="14" spans="1:9" ht="12.75" customHeight="1">
      <c r="A14" s="4">
        <f>F2/10^3</f>
        <v>11176.911</v>
      </c>
      <c r="B14" s="4">
        <f>(F3+C9*F5+F6)/10^3</f>
        <v>9592.1535928410631</v>
      </c>
      <c r="C14" s="4">
        <f>F4/10^3</f>
        <v>33675.900999999998</v>
      </c>
      <c r="D14" s="4">
        <f>(F5*C8)/10^3</f>
        <v>44465.718407158944</v>
      </c>
    </row>
    <row r="15" spans="1:9" ht="12.75" customHeight="1">
      <c r="A15" s="4">
        <f>G2/10^3</f>
        <v>10425.041999999999</v>
      </c>
      <c r="B15" s="4">
        <f>(G3+C9*G5+G6)/10^3</f>
        <v>8801.2692900131533</v>
      </c>
      <c r="C15" s="4">
        <f>G4/10^3</f>
        <v>30650.03</v>
      </c>
      <c r="D15" s="4">
        <f>(G5*C8)/10^3</f>
        <v>40952.80870998685</v>
      </c>
    </row>
    <row r="16" spans="1:9" ht="12.75" customHeight="1">
      <c r="A16" s="4">
        <f>H2/10^3</f>
        <v>10251.272999999999</v>
      </c>
      <c r="B16" s="4">
        <f>(H3+C9*H5+H6)/10^3</f>
        <v>8870.7157393977395</v>
      </c>
      <c r="C16" s="4">
        <f>H4/10^3</f>
        <v>31244.444</v>
      </c>
      <c r="D16" s="4">
        <f>(H5*C8)/10^3</f>
        <v>40456.472260602255</v>
      </c>
    </row>
    <row r="17" spans="1:4" ht="12.75" customHeight="1">
      <c r="A17" s="4">
        <f>I2/10^6</f>
        <v>9987.7787983999988</v>
      </c>
      <c r="B17" s="4">
        <f>(I3+C9*I5+I6)/10^6</f>
        <v>8717.1256369173861</v>
      </c>
      <c r="C17" s="4">
        <f>I4/10^6</f>
        <v>30383.541730000001</v>
      </c>
      <c r="D17" s="4">
        <f>(I5*C8)/10^6</f>
        <v>40362.51101668262</v>
      </c>
    </row>
    <row r="18" spans="1:4" ht="12.75" customHeight="1">
      <c r="A18" s="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PUCT_Even_Year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Host, Marianne</dc:creator>
  <cp:lastModifiedBy>Cheng Feng</cp:lastModifiedBy>
  <dcterms:created xsi:type="dcterms:W3CDTF">2024-05-24T13:53:56Z</dcterms:created>
  <dcterms:modified xsi:type="dcterms:W3CDTF">2025-10-06T18:04:48Z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2024-05-24T13:53:30Z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600c27ce-9710-44f8-8ba4-7432dde866e1</vt:lpwstr>
  </property>
  <property fmtid="{D5CDD505-2E9C-101B-9397-08002B2CF9AE}" pid="8" name="MSIP_Label_7084cbda-52b8-46fb-a7b7-cb5bd465ed85_ContentBits">
    <vt:lpwstr>0</vt:lpwstr>
  </property>
</Properties>
</file>