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1651-3uOkU94GjljO/"/>
    </mc:Choice>
  </mc:AlternateContent>
  <xr:revisionPtr revIDLastSave="0" documentId="13_ncr:1_{B162248C-F5F4-D340-A109-D0D72E4392C4}" xr6:coauthVersionLast="47" xr6:coauthVersionMax="47" xr10:uidLastSave="{00000000-0000-0000-0000-000000000000}"/>
  <bookViews>
    <workbookView xWindow="0" yWindow="500" windowWidth="38400" windowHeight="21100" xr2:uid="{8CBC193C-A794-2C49-831B-010B7268924A}"/>
  </bookViews>
  <sheets>
    <sheet name="Houston" sheetId="1" r:id="rId1"/>
    <sheet name="North" sheetId="2" r:id="rId2"/>
    <sheet name="South" sheetId="3" r:id="rId3"/>
    <sheet name="W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E10" i="1" s="1"/>
  <c r="D9" i="1"/>
  <c r="E9" i="1" s="1"/>
  <c r="D8" i="1"/>
  <c r="D7" i="1"/>
  <c r="D6" i="1"/>
  <c r="E6" i="1" s="1"/>
  <c r="D5" i="1"/>
  <c r="D4" i="1"/>
  <c r="D3" i="1"/>
  <c r="D13" i="2"/>
  <c r="D12" i="2"/>
  <c r="D11" i="2"/>
  <c r="D10" i="2"/>
  <c r="D9" i="2"/>
  <c r="D8" i="2"/>
  <c r="E8" i="2" s="1"/>
  <c r="D7" i="2"/>
  <c r="E7" i="2" s="1"/>
  <c r="D6" i="2"/>
  <c r="E6" i="2" s="1"/>
  <c r="D5" i="2"/>
  <c r="D4" i="2"/>
  <c r="D3" i="2"/>
  <c r="D13" i="3"/>
  <c r="D12" i="3"/>
  <c r="D11" i="3"/>
  <c r="D10" i="3"/>
  <c r="D9" i="3"/>
  <c r="E9" i="3" s="1"/>
  <c r="D8" i="3"/>
  <c r="E8" i="3" s="1"/>
  <c r="D7" i="3"/>
  <c r="E7" i="3" s="1"/>
  <c r="D6" i="3"/>
  <c r="E6" i="3" s="1"/>
  <c r="D5" i="3"/>
  <c r="D4" i="3"/>
  <c r="D3" i="3"/>
  <c r="D4" i="4"/>
  <c r="D5" i="4"/>
  <c r="D6" i="4"/>
  <c r="D7" i="4"/>
  <c r="D8" i="4"/>
  <c r="D9" i="4"/>
  <c r="E9" i="4" s="1"/>
  <c r="D10" i="4"/>
  <c r="E10" i="4" s="1"/>
  <c r="D11" i="4"/>
  <c r="E11" i="4" s="1"/>
  <c r="D12" i="4"/>
  <c r="D13" i="4"/>
  <c r="D3" i="4"/>
  <c r="E4" i="4"/>
  <c r="E5" i="4"/>
  <c r="E6" i="4"/>
  <c r="E7" i="4"/>
  <c r="E8" i="4"/>
  <c r="E12" i="4"/>
  <c r="E13" i="4"/>
  <c r="E3" i="4"/>
  <c r="E4" i="3"/>
  <c r="E5" i="3"/>
  <c r="E10" i="3"/>
  <c r="E11" i="3"/>
  <c r="E12" i="3"/>
  <c r="E13" i="3"/>
  <c r="E3" i="3"/>
  <c r="E4" i="2"/>
  <c r="E5" i="2"/>
  <c r="E9" i="2"/>
  <c r="E10" i="2"/>
  <c r="E11" i="2"/>
  <c r="E12" i="2"/>
  <c r="E13" i="2"/>
  <c r="E3" i="2"/>
  <c r="E4" i="1"/>
  <c r="E5" i="1"/>
  <c r="E7" i="1"/>
  <c r="E8" i="1"/>
  <c r="E11" i="1"/>
  <c r="E12" i="1"/>
  <c r="E13" i="1"/>
  <c r="E3" i="1"/>
</calcChain>
</file>

<file path=xl/sharedStrings.xml><?xml version="1.0" encoding="utf-8"?>
<sst xmlns="http://schemas.openxmlformats.org/spreadsheetml/2006/main" count="16" uniqueCount="4">
  <si>
    <t>RES DELTA</t>
  </si>
  <si>
    <t>DC capacity cumulate</t>
  </si>
  <si>
    <t>DC DELTA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</si>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</sst>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E13"/>
  <sheetViews>
    <sheetView tabSelected="1"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860.90226999999868</v>
      </c>
      <c r="C3">
        <v>2.6819999999999999</v>
      </c>
      <c r="D3">
        <f>(C3-C2)*8760*0.8/1000</f>
        <v>18.795456000000001</v>
      </c>
      <c r="E3">
        <f>IF(MAX(B3,0)+MAX(D3,0)&gt;0, MAX(D3,0)/(MAX(B3,0)+MAX(D3,0)), "")</f>
        <v>2.1365811737928748E-2</v>
      </c>
    </row>
    <row r="4" spans="1:5" x14ac:dyDescent="0.2">
      <c r="A4">
        <v>2021</v>
      </c>
      <c r="B4">
        <v>-594.41400000000067</v>
      </c>
      <c r="C4">
        <v>2.8620000000000001</v>
      </c>
      <c r="D4">
        <f t="shared" ref="D4:D13" si="0">(C4-C3)*8760*0.8/1000</f>
        <v>1.2614400000000012</v>
      </c>
      <c r="E4">
        <f t="shared" ref="E4:E13" si="1">IF(MAX(B4,0)+MAX(D4,0)&gt;0, MAX(D4,0)/(MAX(B4,0)+MAX(D4,0)), "")</f>
        <v>1</v>
      </c>
    </row>
    <row r="5" spans="1:5" x14ac:dyDescent="0.2">
      <c r="A5">
        <v>2022</v>
      </c>
      <c r="B5">
        <v>3025.8709999999992</v>
      </c>
      <c r="C5">
        <v>3.3119999999999998</v>
      </c>
      <c r="D5">
        <f t="shared" si="0"/>
        <v>3.1535999999999986</v>
      </c>
      <c r="E5">
        <f t="shared" si="1"/>
        <v>1.0411272328392444E-3</v>
      </c>
    </row>
    <row r="6" spans="1:5" x14ac:dyDescent="0.2">
      <c r="A6">
        <v>2023</v>
      </c>
      <c r="B6">
        <v>154.5260000000053</v>
      </c>
      <c r="C6">
        <v>51.484999999999999</v>
      </c>
      <c r="D6">
        <f t="shared" si="0"/>
        <v>337.59638400000006</v>
      </c>
      <c r="E6">
        <f t="shared" si="1"/>
        <v>0.68600087087279571</v>
      </c>
    </row>
    <row r="7" spans="1:5" x14ac:dyDescent="0.2">
      <c r="A7">
        <v>2024</v>
      </c>
      <c r="B7">
        <v>-107.90281300000061</v>
      </c>
      <c r="C7">
        <v>70.185000000000002</v>
      </c>
      <c r="D7">
        <f t="shared" si="0"/>
        <v>131.04960000000003</v>
      </c>
      <c r="E7">
        <f t="shared" si="1"/>
        <v>1</v>
      </c>
    </row>
    <row r="8" spans="1:5" x14ac:dyDescent="0.2">
      <c r="A8">
        <v>2025</v>
      </c>
      <c r="B8">
        <v>809.34081299999525</v>
      </c>
      <c r="C8">
        <v>70.185000000000002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801.13900000000285</v>
      </c>
      <c r="C9">
        <v>70.185000000000002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791.45900000000256</v>
      </c>
      <c r="C10">
        <v>70.185000000000002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722.48999999999796</v>
      </c>
      <c r="C11">
        <v>70.185000000000002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501.11800000000221</v>
      </c>
      <c r="C12">
        <v>70.185000000000002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582.62999999999738</v>
      </c>
      <c r="C13">
        <v>70.185000000000002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93.961243919635308</v>
      </c>
      <c r="C3">
        <v>116.715</v>
      </c>
      <c r="D3">
        <f>(C3-C2)*8760*0.8/1000</f>
        <v>817.9387200000001</v>
      </c>
      <c r="E3">
        <f>IF(MAX(B3,0)+MAX(D3,0)&gt;0, MAX(D3,0)/(MAX(B3,0)+MAX(D3,0)), "")</f>
        <v>0.89696101805316442</v>
      </c>
    </row>
    <row r="4" spans="1:5" x14ac:dyDescent="0.2">
      <c r="A4">
        <v>2021</v>
      </c>
      <c r="B4">
        <v>496.33644938459474</v>
      </c>
      <c r="C4">
        <v>149.11799999999999</v>
      </c>
      <c r="D4">
        <f t="shared" ref="D4:D13" si="0">(C4-C3)*8760*0.8/1000</f>
        <v>227.08022399999993</v>
      </c>
      <c r="E4">
        <f t="shared" ref="E4:E13" si="1">IF(MAX(B4,0)+MAX(D4,0)&gt;0, MAX(D4,0)/(MAX(B4,0)+MAX(D4,0)), "")</f>
        <v>0.31389962708155028</v>
      </c>
    </row>
    <row r="5" spans="1:5" x14ac:dyDescent="0.2">
      <c r="A5">
        <v>2022</v>
      </c>
      <c r="B5">
        <v>3512.9096971720937</v>
      </c>
      <c r="C5">
        <v>468.10500000000002</v>
      </c>
      <c r="D5">
        <f t="shared" si="0"/>
        <v>2235.460896</v>
      </c>
      <c r="E5">
        <f t="shared" si="1"/>
        <v>0.38888600861177547</v>
      </c>
    </row>
    <row r="6" spans="1:5" x14ac:dyDescent="0.2">
      <c r="A6">
        <v>2023</v>
      </c>
      <c r="B6">
        <v>-651.50400499526586</v>
      </c>
      <c r="C6">
        <v>599.36800000000005</v>
      </c>
      <c r="D6">
        <f t="shared" si="0"/>
        <v>919.89110400000027</v>
      </c>
      <c r="E6">
        <f t="shared" si="1"/>
        <v>1</v>
      </c>
    </row>
    <row r="7" spans="1:5" x14ac:dyDescent="0.2">
      <c r="A7">
        <v>2024</v>
      </c>
      <c r="B7">
        <v>-379.4254021636807</v>
      </c>
      <c r="C7">
        <v>1177.1690000000001</v>
      </c>
      <c r="D7">
        <f t="shared" si="0"/>
        <v>4049.2294080000006</v>
      </c>
      <c r="E7">
        <f t="shared" si="1"/>
        <v>1</v>
      </c>
    </row>
    <row r="8" spans="1:5" x14ac:dyDescent="0.2">
      <c r="A8">
        <v>2025</v>
      </c>
      <c r="B8">
        <v>1042.4350000000049</v>
      </c>
      <c r="C8">
        <v>2753.4430000000002</v>
      </c>
      <c r="D8">
        <f t="shared" si="0"/>
        <v>11046.528192000002</v>
      </c>
      <c r="E8">
        <f t="shared" si="1"/>
        <v>0.91376969360864235</v>
      </c>
    </row>
    <row r="9" spans="1:5" x14ac:dyDescent="0.2">
      <c r="A9">
        <v>2026</v>
      </c>
      <c r="B9">
        <v>1031.8719999999958</v>
      </c>
      <c r="C9">
        <v>3578.0390000000002</v>
      </c>
      <c r="D9">
        <f t="shared" si="0"/>
        <v>5778.7687679999999</v>
      </c>
      <c r="E9">
        <f t="shared" si="1"/>
        <v>0.84849120146693424</v>
      </c>
    </row>
    <row r="10" spans="1:5" x14ac:dyDescent="0.2">
      <c r="A10">
        <v>2027</v>
      </c>
      <c r="B10">
        <v>1019.4040000000023</v>
      </c>
      <c r="C10">
        <v>4544.0839999999998</v>
      </c>
      <c r="D10">
        <f t="shared" si="0"/>
        <v>6770.0433599999988</v>
      </c>
      <c r="E10">
        <f t="shared" si="1"/>
        <v>0.86913012529813127</v>
      </c>
    </row>
    <row r="11" spans="1:5" x14ac:dyDescent="0.2">
      <c r="A11">
        <v>2028</v>
      </c>
      <c r="B11">
        <v>930.56999999999971</v>
      </c>
      <c r="C11">
        <v>4999.3339999999998</v>
      </c>
      <c r="D11">
        <f t="shared" si="0"/>
        <v>3190.3919999999998</v>
      </c>
      <c r="E11">
        <f t="shared" si="1"/>
        <v>0.77418622156671191</v>
      </c>
    </row>
    <row r="12" spans="1:5" x14ac:dyDescent="0.2">
      <c r="A12">
        <v>2029</v>
      </c>
      <c r="B12">
        <v>645.4429999999993</v>
      </c>
      <c r="C12">
        <v>5252.0839999999998</v>
      </c>
      <c r="D12">
        <f t="shared" si="0"/>
        <v>1771.2719999999999</v>
      </c>
      <c r="E12">
        <f t="shared" si="1"/>
        <v>0.73292547942144626</v>
      </c>
    </row>
    <row r="13" spans="1:5" x14ac:dyDescent="0.2">
      <c r="A13">
        <v>2030</v>
      </c>
      <c r="B13">
        <v>750.43000000000029</v>
      </c>
      <c r="C13">
        <v>5300.7470000000003</v>
      </c>
      <c r="D13">
        <f t="shared" si="0"/>
        <v>341.03030400000324</v>
      </c>
      <c r="E13">
        <f t="shared" si="1"/>
        <v>0.31245323604549718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2755-5E19-754E-A63F-3EC8AC04DB2B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263.49420160000045</v>
      </c>
      <c r="C3">
        <v>81.180000000000007</v>
      </c>
      <c r="D3">
        <f>(C3-C2)*8760*0.8/1000</f>
        <v>568.90944000000002</v>
      </c>
      <c r="E3">
        <f>IF(MAX(B3,0)+MAX(D3,0)&gt;0, MAX(D3,0)/(MAX(B3,0)+MAX(D3,0)), "")</f>
        <v>0.68345380962831159</v>
      </c>
    </row>
    <row r="4" spans="1:5" x14ac:dyDescent="0.2">
      <c r="A4">
        <v>2021</v>
      </c>
      <c r="B4">
        <v>173.76900000000023</v>
      </c>
      <c r="C4">
        <v>576.85500000000002</v>
      </c>
      <c r="D4">
        <f t="shared" ref="D4:D13" si="0">(C4-C3)*8760*0.8/1000</f>
        <v>3473.6904000000004</v>
      </c>
      <c r="E4">
        <f t="shared" ref="E4:E13" si="1">IF(MAX(B4,0)+MAX(D4,0)&gt;0, MAX(D4,0)/(MAX(B4,0)+MAX(D4,0)), "")</f>
        <v>0.95235889397425499</v>
      </c>
    </row>
    <row r="5" spans="1:5" x14ac:dyDescent="0.2">
      <c r="A5">
        <v>2022</v>
      </c>
      <c r="B5">
        <v>751.8690000000006</v>
      </c>
      <c r="C5">
        <v>700.822</v>
      </c>
      <c r="D5">
        <f t="shared" si="0"/>
        <v>868.76073600000007</v>
      </c>
      <c r="E5">
        <f t="shared" si="1"/>
        <v>0.53606367740990257</v>
      </c>
    </row>
    <row r="6" spans="1:5" x14ac:dyDescent="0.2">
      <c r="A6">
        <v>2023</v>
      </c>
      <c r="B6">
        <v>-303.9429999999993</v>
      </c>
      <c r="C6">
        <v>1203.7070000000001</v>
      </c>
      <c r="D6">
        <f t="shared" si="0"/>
        <v>3524.2180800000006</v>
      </c>
      <c r="E6">
        <f t="shared" si="1"/>
        <v>1</v>
      </c>
    </row>
    <row r="7" spans="1:5" x14ac:dyDescent="0.2">
      <c r="A7">
        <v>2024</v>
      </c>
      <c r="B7">
        <v>-245.34000000000015</v>
      </c>
      <c r="C7">
        <v>1497.296</v>
      </c>
      <c r="D7">
        <f t="shared" si="0"/>
        <v>2057.471712</v>
      </c>
      <c r="E7">
        <f t="shared" si="1"/>
        <v>1</v>
      </c>
    </row>
    <row r="8" spans="1:5" x14ac:dyDescent="0.2">
      <c r="A8">
        <v>2025</v>
      </c>
      <c r="B8">
        <v>255.0630000000001</v>
      </c>
      <c r="C8">
        <v>1759.136</v>
      </c>
      <c r="D8">
        <f t="shared" si="0"/>
        <v>1834.9747199999997</v>
      </c>
      <c r="E8">
        <f t="shared" si="1"/>
        <v>0.87796248959564227</v>
      </c>
    </row>
    <row r="9" spans="1:5" x14ac:dyDescent="0.2">
      <c r="A9">
        <v>2026</v>
      </c>
      <c r="B9">
        <v>252.47899999999936</v>
      </c>
      <c r="C9">
        <v>2256.0030000000002</v>
      </c>
      <c r="D9">
        <f t="shared" si="0"/>
        <v>3482.0439360000014</v>
      </c>
      <c r="E9">
        <f t="shared" si="1"/>
        <v>0.93239323888838499</v>
      </c>
    </row>
    <row r="10" spans="1:5" x14ac:dyDescent="0.2">
      <c r="A10">
        <v>2027</v>
      </c>
      <c r="B10">
        <v>249.42799999999988</v>
      </c>
      <c r="C10">
        <v>2514.7530000000002</v>
      </c>
      <c r="D10">
        <f t="shared" si="0"/>
        <v>1813.32</v>
      </c>
      <c r="E10">
        <f t="shared" si="1"/>
        <v>0.87907975186498799</v>
      </c>
    </row>
    <row r="11" spans="1:5" x14ac:dyDescent="0.2">
      <c r="A11">
        <v>2028</v>
      </c>
      <c r="B11">
        <v>227.69200000000092</v>
      </c>
      <c r="C11">
        <v>2749.8780000000002</v>
      </c>
      <c r="D11">
        <f t="shared" si="0"/>
        <v>1647.7560000000001</v>
      </c>
      <c r="E11">
        <f t="shared" si="1"/>
        <v>0.8785932747802121</v>
      </c>
    </row>
    <row r="12" spans="1:5" x14ac:dyDescent="0.2">
      <c r="A12">
        <v>2029</v>
      </c>
      <c r="B12">
        <v>157.92699999999968</v>
      </c>
      <c r="C12">
        <v>2772.3780000000002</v>
      </c>
      <c r="D12">
        <f t="shared" si="0"/>
        <v>157.68</v>
      </c>
      <c r="E12">
        <f t="shared" si="1"/>
        <v>0.49960869055502621</v>
      </c>
    </row>
    <row r="13" spans="1:5" x14ac:dyDescent="0.2">
      <c r="A13">
        <v>2030</v>
      </c>
      <c r="B13">
        <v>183.61499999999978</v>
      </c>
      <c r="C13">
        <v>2772.3780000000002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251-CBBF-724C-963F-2BB5188A294E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153.59010248035338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-69.446449384586231</v>
      </c>
      <c r="C4">
        <v>357.72500000000002</v>
      </c>
      <c r="D4">
        <f t="shared" ref="D4:D13" si="0">(C4-C3)*8760*0.8/1000</f>
        <v>2506.9368000000004</v>
      </c>
      <c r="E4">
        <f t="shared" ref="E4:E13" si="1">IF(MAX(B4,0)+MAX(D4,0)&gt;0, MAX(D4,0)/(MAX(B4,0)+MAX(D4,0)), "")</f>
        <v>1</v>
      </c>
    </row>
    <row r="5" spans="1:5" x14ac:dyDescent="0.2">
      <c r="A5">
        <v>2022</v>
      </c>
      <c r="B5">
        <v>790.88430282790978</v>
      </c>
      <c r="C5">
        <v>1846.0250000000001</v>
      </c>
      <c r="D5">
        <f t="shared" si="0"/>
        <v>10430.006400000002</v>
      </c>
      <c r="E5">
        <f t="shared" si="1"/>
        <v>0.92951679828513167</v>
      </c>
    </row>
    <row r="6" spans="1:5" x14ac:dyDescent="0.2">
      <c r="A6">
        <v>2023</v>
      </c>
      <c r="B6">
        <v>-174.75399500474305</v>
      </c>
      <c r="C6">
        <v>2176.2269999999999</v>
      </c>
      <c r="D6">
        <f t="shared" si="0"/>
        <v>2314.0556159999987</v>
      </c>
      <c r="E6">
        <f t="shared" si="1"/>
        <v>1</v>
      </c>
    </row>
    <row r="7" spans="1:5" x14ac:dyDescent="0.2">
      <c r="A7">
        <v>2024</v>
      </c>
      <c r="B7">
        <v>-71.089597836320536</v>
      </c>
      <c r="C7">
        <v>2285.127</v>
      </c>
      <c r="D7">
        <f t="shared" si="0"/>
        <v>763.17120000000068</v>
      </c>
      <c r="E7">
        <f t="shared" si="1"/>
        <v>1</v>
      </c>
    </row>
    <row r="8" spans="1:5" x14ac:dyDescent="0.2">
      <c r="A8">
        <v>2025</v>
      </c>
      <c r="B8">
        <v>224.31099999999969</v>
      </c>
      <c r="C8">
        <v>2485.127</v>
      </c>
      <c r="D8">
        <f t="shared" si="0"/>
        <v>1401.6</v>
      </c>
      <c r="E8">
        <f t="shared" si="1"/>
        <v>0.86203980414672154</v>
      </c>
    </row>
    <row r="9" spans="1:5" x14ac:dyDescent="0.2">
      <c r="A9">
        <v>2026</v>
      </c>
      <c r="B9">
        <v>222.03900000000067</v>
      </c>
      <c r="C9">
        <v>4025.127</v>
      </c>
      <c r="D9">
        <f t="shared" si="0"/>
        <v>10792.32</v>
      </c>
      <c r="E9">
        <f t="shared" si="1"/>
        <v>0.97984095125281456</v>
      </c>
    </row>
    <row r="10" spans="1:5" x14ac:dyDescent="0.2">
      <c r="A10">
        <v>2027</v>
      </c>
      <c r="B10">
        <v>219.35499999999956</v>
      </c>
      <c r="C10">
        <v>4025.127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200.23999999999978</v>
      </c>
      <c r="C11">
        <v>4306.3770000000004</v>
      </c>
      <c r="D11">
        <f t="shared" si="0"/>
        <v>1971.0000000000034</v>
      </c>
      <c r="E11">
        <f t="shared" si="1"/>
        <v>0.90777620161750905</v>
      </c>
    </row>
    <row r="12" spans="1:5" x14ac:dyDescent="0.2">
      <c r="A12">
        <v>2029</v>
      </c>
      <c r="B12">
        <v>138.88700000000063</v>
      </c>
      <c r="C12">
        <v>4327.9769999999999</v>
      </c>
      <c r="D12">
        <f t="shared" si="0"/>
        <v>151.37279999999618</v>
      </c>
      <c r="E12">
        <f t="shared" si="1"/>
        <v>0.52150797320193099</v>
      </c>
    </row>
    <row r="13" spans="1:5" x14ac:dyDescent="0.2">
      <c r="A13">
        <v>2030</v>
      </c>
      <c r="B13">
        <v>161.47800000000097</v>
      </c>
      <c r="C13">
        <v>4327.9769999999999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2025-10-13T15:00:55Z</dcterms:modified>
</cp:coreProperties>
</file>