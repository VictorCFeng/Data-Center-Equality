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91651-QVEJZD0FJQTu/"/>
    </mc:Choice>
  </mc:AlternateContent>
  <xr:revisionPtr revIDLastSave="0" documentId="13_ncr:1_{5E0D72DE-E29F-4840-90A0-525D7DA65064}" xr6:coauthVersionLast="47" xr6:coauthVersionMax="47" xr10:uidLastSave="{00000000-0000-0000-0000-000000000000}"/>
  <bookViews>
    <workbookView xWindow="4640" yWindow="1720" windowWidth="30240" windowHeight="18880" xr2:uid="{8CBC193C-A794-2C49-831B-010B7268924A}"/>
  </bookViews>
  <sheets>
    <sheet name="AEP" sheetId="1" r:id="rId1"/>
    <sheet name="APS" sheetId="2" r:id="rId2"/>
    <sheet name="ATSI" sheetId="3" r:id="rId3"/>
    <sheet name="BGE" sheetId="4" r:id="rId4"/>
    <sheet name="COMED" sheetId="5" r:id="rId5"/>
    <sheet name="DAY" sheetId="6" r:id="rId6"/>
    <sheet name="DEOK" sheetId="7" r:id="rId7"/>
    <sheet name="DOM" sheetId="8" r:id="rId8"/>
    <sheet name="DUQ" sheetId="9" r:id="rId9"/>
    <sheet name="EKPC" sheetId="10" r:id="rId10"/>
    <sheet name="JCPL" sheetId="11" r:id="rId11"/>
    <sheet name="METED" sheetId="12" r:id="rId12"/>
    <sheet name="PECO" sheetId="13" r:id="rId13"/>
    <sheet name="PENELEC" sheetId="14" r:id="rId14"/>
    <sheet name="PEPCO" sheetId="15" r:id="rId15"/>
    <sheet name="PPL" sheetId="16" r:id="rId16"/>
    <sheet name="PSEG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7" l="1"/>
  <c r="D12" i="17"/>
  <c r="E12" i="17" s="1"/>
  <c r="D11" i="17"/>
  <c r="D10" i="17"/>
  <c r="D9" i="17"/>
  <c r="E9" i="17" s="1"/>
  <c r="D8" i="17"/>
  <c r="D7" i="17"/>
  <c r="E7" i="17" s="1"/>
  <c r="D6" i="17"/>
  <c r="E6" i="17" s="1"/>
  <c r="D5" i="17"/>
  <c r="D4" i="17"/>
  <c r="D3" i="17"/>
  <c r="D13" i="16"/>
  <c r="D12" i="16"/>
  <c r="D11" i="16"/>
  <c r="D10" i="16"/>
  <c r="E10" i="16" s="1"/>
  <c r="D9" i="16"/>
  <c r="E9" i="16" s="1"/>
  <c r="D8" i="16"/>
  <c r="D7" i="16"/>
  <c r="E7" i="16" s="1"/>
  <c r="D6" i="16"/>
  <c r="E6" i="16" s="1"/>
  <c r="D5" i="16"/>
  <c r="D4" i="16"/>
  <c r="D3" i="16"/>
  <c r="D13" i="15"/>
  <c r="D12" i="15"/>
  <c r="D11" i="15"/>
  <c r="D10" i="15"/>
  <c r="D9" i="15"/>
  <c r="E9" i="15" s="1"/>
  <c r="D8" i="15"/>
  <c r="E8" i="15" s="1"/>
  <c r="D7" i="15"/>
  <c r="D6" i="15"/>
  <c r="E6" i="15" s="1"/>
  <c r="D5" i="15"/>
  <c r="D4" i="15"/>
  <c r="D3" i="15"/>
  <c r="D13" i="14"/>
  <c r="D12" i="14"/>
  <c r="D11" i="14"/>
  <c r="D10" i="14"/>
  <c r="D9" i="14"/>
  <c r="D8" i="14"/>
  <c r="D7" i="14"/>
  <c r="E7" i="14" s="1"/>
  <c r="D6" i="14"/>
  <c r="D5" i="14"/>
  <c r="D4" i="14"/>
  <c r="D3" i="14"/>
  <c r="D13" i="13"/>
  <c r="D12" i="13"/>
  <c r="E12" i="13" s="1"/>
  <c r="D11" i="13"/>
  <c r="D10" i="13"/>
  <c r="E10" i="13" s="1"/>
  <c r="D9" i="13"/>
  <c r="E9" i="13" s="1"/>
  <c r="D8" i="13"/>
  <c r="D7" i="13"/>
  <c r="E7" i="13" s="1"/>
  <c r="D6" i="13"/>
  <c r="E6" i="13" s="1"/>
  <c r="D5" i="13"/>
  <c r="D4" i="13"/>
  <c r="D3" i="13"/>
  <c r="D13" i="12"/>
  <c r="D12" i="12"/>
  <c r="D11" i="12"/>
  <c r="D10" i="12"/>
  <c r="D9" i="12"/>
  <c r="D8" i="12"/>
  <c r="D7" i="12"/>
  <c r="E7" i="12" s="1"/>
  <c r="D6" i="12"/>
  <c r="D5" i="12"/>
  <c r="D4" i="12"/>
  <c r="D3" i="12"/>
  <c r="D13" i="11"/>
  <c r="D12" i="11"/>
  <c r="D11" i="11"/>
  <c r="D10" i="11"/>
  <c r="E10" i="11" s="1"/>
  <c r="D9" i="11"/>
  <c r="E9" i="11" s="1"/>
  <c r="D8" i="11"/>
  <c r="D7" i="11"/>
  <c r="D6" i="11"/>
  <c r="D5" i="11"/>
  <c r="D4" i="11"/>
  <c r="D3" i="11"/>
  <c r="D13" i="10"/>
  <c r="D12" i="10"/>
  <c r="D11" i="10"/>
  <c r="D10" i="10"/>
  <c r="D9" i="10"/>
  <c r="D8" i="10"/>
  <c r="E8" i="10" s="1"/>
  <c r="D7" i="10"/>
  <c r="E7" i="10" s="1"/>
  <c r="D6" i="10"/>
  <c r="E6" i="10" s="1"/>
  <c r="D5" i="10"/>
  <c r="D4" i="10"/>
  <c r="D3" i="10"/>
  <c r="D13" i="9"/>
  <c r="D12" i="9"/>
  <c r="D11" i="9"/>
  <c r="D10" i="9"/>
  <c r="D9" i="9"/>
  <c r="D8" i="9"/>
  <c r="D7" i="9"/>
  <c r="E7" i="9" s="1"/>
  <c r="D6" i="9"/>
  <c r="E6" i="9" s="1"/>
  <c r="D5" i="9"/>
  <c r="D4" i="9"/>
  <c r="D3" i="9"/>
  <c r="D13" i="8"/>
  <c r="D12" i="8"/>
  <c r="D11" i="8"/>
  <c r="D10" i="8"/>
  <c r="D9" i="8"/>
  <c r="D8" i="8"/>
  <c r="D7" i="8"/>
  <c r="D6" i="8"/>
  <c r="E6" i="8" s="1"/>
  <c r="D5" i="8"/>
  <c r="D4" i="8"/>
  <c r="D3" i="8"/>
  <c r="D13" i="7"/>
  <c r="D12" i="7"/>
  <c r="D11" i="7"/>
  <c r="D10" i="7"/>
  <c r="D9" i="7"/>
  <c r="D8" i="7"/>
  <c r="D7" i="7"/>
  <c r="D6" i="7"/>
  <c r="E6" i="7" s="1"/>
  <c r="D5" i="7"/>
  <c r="D4" i="7"/>
  <c r="D3" i="7"/>
  <c r="D13" i="6"/>
  <c r="D12" i="6"/>
  <c r="D11" i="6"/>
  <c r="D10" i="6"/>
  <c r="E10" i="6" s="1"/>
  <c r="D9" i="6"/>
  <c r="E9" i="6" s="1"/>
  <c r="D8" i="6"/>
  <c r="E8" i="6" s="1"/>
  <c r="D7" i="6"/>
  <c r="D6" i="6"/>
  <c r="E6" i="6" s="1"/>
  <c r="D5" i="6"/>
  <c r="D4" i="6"/>
  <c r="D3" i="6"/>
  <c r="D13" i="5"/>
  <c r="D12" i="5"/>
  <c r="D11" i="5"/>
  <c r="D10" i="5"/>
  <c r="D9" i="5"/>
  <c r="E9" i="5" s="1"/>
  <c r="D8" i="5"/>
  <c r="E8" i="5" s="1"/>
  <c r="D7" i="5"/>
  <c r="E7" i="5" s="1"/>
  <c r="D6" i="5"/>
  <c r="D5" i="5"/>
  <c r="D4" i="5"/>
  <c r="D3" i="5"/>
  <c r="D13" i="4"/>
  <c r="D12" i="4"/>
  <c r="D11" i="4"/>
  <c r="D10" i="4"/>
  <c r="D9" i="4"/>
  <c r="D8" i="4"/>
  <c r="D7" i="4"/>
  <c r="E7" i="4" s="1"/>
  <c r="D6" i="4"/>
  <c r="E6" i="4" s="1"/>
  <c r="D5" i="4"/>
  <c r="D4" i="4"/>
  <c r="D3" i="4"/>
  <c r="D13" i="3"/>
  <c r="D12" i="3"/>
  <c r="D11" i="3"/>
  <c r="E11" i="3" s="1"/>
  <c r="D10" i="3"/>
  <c r="D9" i="3"/>
  <c r="D8" i="3"/>
  <c r="D7" i="3"/>
  <c r="D6" i="3"/>
  <c r="E6" i="3" s="1"/>
  <c r="D5" i="3"/>
  <c r="D4" i="3"/>
  <c r="D3" i="3"/>
  <c r="D13" i="2"/>
  <c r="D12" i="2"/>
  <c r="D11" i="2"/>
  <c r="D10" i="2"/>
  <c r="D9" i="2"/>
  <c r="E9" i="2" s="1"/>
  <c r="D8" i="2"/>
  <c r="E8" i="2" s="1"/>
  <c r="D7" i="2"/>
  <c r="E7" i="2" s="1"/>
  <c r="D6" i="2"/>
  <c r="E6" i="2" s="1"/>
  <c r="D5" i="2"/>
  <c r="D4" i="2"/>
  <c r="D3" i="2"/>
  <c r="E3" i="2" s="1"/>
  <c r="D4" i="1"/>
  <c r="D5" i="1"/>
  <c r="D6" i="1"/>
  <c r="D7" i="1"/>
  <c r="E7" i="1" s="1"/>
  <c r="D8" i="1"/>
  <c r="E8" i="1" s="1"/>
  <c r="D9" i="1"/>
  <c r="E9" i="1" s="1"/>
  <c r="D10" i="1"/>
  <c r="D11" i="1"/>
  <c r="E11" i="1" s="1"/>
  <c r="D12" i="1"/>
  <c r="D13" i="1"/>
  <c r="D3" i="1"/>
  <c r="E8" i="16"/>
  <c r="E12" i="15"/>
  <c r="E11" i="15"/>
  <c r="E4" i="15"/>
  <c r="E3" i="15"/>
  <c r="E8" i="11"/>
  <c r="E7" i="11"/>
  <c r="E6" i="11"/>
  <c r="E10" i="9"/>
  <c r="E9" i="9"/>
  <c r="E10" i="8"/>
  <c r="E9" i="8"/>
  <c r="E8" i="8"/>
  <c r="E7" i="8"/>
  <c r="E10" i="7"/>
  <c r="E9" i="7"/>
  <c r="E7" i="6"/>
  <c r="E10" i="4"/>
  <c r="E9" i="4"/>
  <c r="E8" i="4"/>
  <c r="E10" i="3"/>
  <c r="E9" i="3"/>
  <c r="E8" i="3"/>
  <c r="E3" i="1"/>
  <c r="E7" i="15"/>
  <c r="E10" i="15"/>
  <c r="E13" i="15"/>
  <c r="E11" i="13"/>
  <c r="E13" i="13"/>
  <c r="E11" i="11"/>
  <c r="E12" i="11"/>
  <c r="E13" i="11"/>
  <c r="E4" i="9"/>
  <c r="E5" i="9"/>
  <c r="E11" i="9"/>
  <c r="E13" i="9"/>
  <c r="E4" i="8"/>
  <c r="E5" i="8"/>
  <c r="E11" i="8"/>
  <c r="E12" i="8"/>
  <c r="E13" i="8"/>
  <c r="E4" i="7"/>
  <c r="E5" i="7"/>
  <c r="E7" i="7"/>
  <c r="E8" i="7"/>
  <c r="E11" i="7"/>
  <c r="E12" i="7"/>
  <c r="E13" i="7"/>
  <c r="E4" i="6"/>
  <c r="E11" i="6"/>
  <c r="E4" i="5"/>
  <c r="E5" i="5"/>
  <c r="E6" i="5"/>
  <c r="E10" i="5"/>
  <c r="E11" i="5"/>
  <c r="E12" i="5"/>
  <c r="E13" i="5"/>
  <c r="E4" i="4"/>
  <c r="E5" i="4"/>
  <c r="E11" i="4"/>
  <c r="E12" i="4"/>
  <c r="E13" i="4"/>
  <c r="E5" i="3"/>
  <c r="E7" i="3"/>
  <c r="E12" i="3"/>
  <c r="E4" i="2"/>
  <c r="E5" i="2"/>
  <c r="E10" i="2"/>
  <c r="E11" i="2"/>
  <c r="E12" i="2"/>
  <c r="E13" i="2"/>
  <c r="E4" i="1"/>
  <c r="E5" i="1"/>
  <c r="E6" i="1"/>
  <c r="E10" i="1"/>
  <c r="E12" i="1"/>
  <c r="E13" i="1"/>
  <c r="E4" i="17"/>
  <c r="E5" i="17"/>
  <c r="E8" i="17"/>
  <c r="E10" i="17"/>
  <c r="E11" i="17"/>
  <c r="E13" i="17"/>
  <c r="E4" i="16"/>
  <c r="E11" i="16"/>
  <c r="E12" i="16"/>
  <c r="E13" i="16"/>
  <c r="E4" i="14"/>
  <c r="E6" i="14"/>
  <c r="E3" i="14"/>
  <c r="E4" i="13"/>
  <c r="E8" i="13"/>
  <c r="E3" i="13"/>
  <c r="E4" i="12"/>
  <c r="E3" i="12"/>
  <c r="E3" i="10"/>
  <c r="E4" i="11"/>
  <c r="E5" i="11"/>
  <c r="E4" i="10"/>
  <c r="E5" i="10"/>
  <c r="E3" i="9"/>
  <c r="E3" i="8"/>
  <c r="E6" i="12"/>
  <c r="E3" i="11"/>
  <c r="E3" i="7"/>
  <c r="E3" i="6"/>
  <c r="E3" i="5"/>
  <c r="E3" i="4"/>
  <c r="E4" i="3"/>
  <c r="E3" i="3"/>
  <c r="E3" i="17"/>
</calcChain>
</file>

<file path=xl/sharedStrings.xml><?xml version="1.0" encoding="utf-8"?>
<sst xmlns="http://schemas.openxmlformats.org/spreadsheetml/2006/main" count="68" uniqueCount="4">
  <si>
    <t>RES DELTA</t>
  </si>
  <si>
    <t>DC capacity cumulate</t>
  </si>
  <si>
    <t>DC DELTA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</si>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</sst>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62835-E465-BF46-A037-AC82B38FA32A}">
  <dimension ref="A1:E13"/>
  <sheetViews>
    <sheetView tabSelected="1" workbookViewId="0">
      <selection activeCell="D1" sqref="D1:D1048576"/>
    </sheetView>
  </sheetViews>
  <sheetFormatPr baseColWidth="10" defaultRowHeight="16" x14ac:dyDescent="0.2"/>
  <cols>
    <col min="3" max="3" width="18.83203125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2019</v>
      </c>
      <c r="B2">
        <v>-202.29359814825881</v>
      </c>
      <c r="C2">
        <v>0</v>
      </c>
    </row>
    <row r="3" spans="1:5" x14ac:dyDescent="0.2">
      <c r="A3">
        <v>2020</v>
      </c>
      <c r="B3">
        <v>511.06162397282611</v>
      </c>
      <c r="C3">
        <v>237.06299999999999</v>
      </c>
      <c r="D3">
        <f>(C3-C2)*8760*0.8/1000</f>
        <v>1661.3375039999999</v>
      </c>
      <c r="E3">
        <f>IF(MAX(B3,0)+MAX(D3,0)&gt;0, MAX(D3,0)/(MAX(B3,0)+MAX(D3,0)), "")</f>
        <v>0.76474782309007672</v>
      </c>
    </row>
    <row r="4" spans="1:5" x14ac:dyDescent="0.2">
      <c r="A4">
        <v>2021</v>
      </c>
      <c r="B4">
        <v>334.24834944756731</v>
      </c>
      <c r="C4">
        <v>740.63800000000003</v>
      </c>
      <c r="D4">
        <f t="shared" ref="D4:D13" si="0">(C4-C3)*8760*0.8/1000</f>
        <v>3529.0536000000002</v>
      </c>
      <c r="E4">
        <f t="shared" ref="E4:E13" si="1">IF(MAX(B4,0)+MAX(D4,0)&gt;0, MAX(D4,0)/(MAX(B4,0)+MAX(D4,0)), "")</f>
        <v>0.91348117392290207</v>
      </c>
    </row>
    <row r="5" spans="1:5" x14ac:dyDescent="0.2">
      <c r="A5">
        <v>2022</v>
      </c>
      <c r="B5">
        <v>-864.18763837439474</v>
      </c>
      <c r="C5">
        <v>1103.0730000000001</v>
      </c>
      <c r="D5">
        <f t="shared" si="0"/>
        <v>2539.9444800000006</v>
      </c>
      <c r="E5">
        <f t="shared" si="1"/>
        <v>1</v>
      </c>
    </row>
    <row r="6" spans="1:5" x14ac:dyDescent="0.2">
      <c r="A6">
        <v>2023</v>
      </c>
      <c r="B6">
        <v>-89.532042014448962</v>
      </c>
      <c r="C6">
        <v>1252.923</v>
      </c>
      <c r="D6">
        <f t="shared" si="0"/>
        <v>1050.1487999999995</v>
      </c>
      <c r="E6">
        <f t="shared" si="1"/>
        <v>1</v>
      </c>
    </row>
    <row r="7" spans="1:5" x14ac:dyDescent="0.2">
      <c r="A7">
        <v>2024</v>
      </c>
      <c r="B7">
        <v>470.16481844954251</v>
      </c>
      <c r="C7">
        <v>1833.277</v>
      </c>
      <c r="D7">
        <f t="shared" si="0"/>
        <v>4067.1208320000005</v>
      </c>
      <c r="E7">
        <f t="shared" si="1"/>
        <v>0.89637751407541211</v>
      </c>
    </row>
    <row r="8" spans="1:5" x14ac:dyDescent="0.2">
      <c r="A8">
        <v>2025</v>
      </c>
      <c r="B8">
        <v>175.31987212222879</v>
      </c>
      <c r="C8">
        <v>2588.9940000000001</v>
      </c>
      <c r="D8">
        <f t="shared" si="0"/>
        <v>5296.0647360000012</v>
      </c>
      <c r="E8">
        <f t="shared" si="1"/>
        <v>0.9679569460604236</v>
      </c>
    </row>
    <row r="9" spans="1:5" x14ac:dyDescent="0.2">
      <c r="A9">
        <v>2026</v>
      </c>
      <c r="B9">
        <v>183.73302197131119</v>
      </c>
      <c r="C9">
        <v>3210.7139999999999</v>
      </c>
      <c r="D9">
        <f t="shared" si="0"/>
        <v>4357.0137599999989</v>
      </c>
      <c r="E9">
        <f t="shared" si="1"/>
        <v>0.95953682713583388</v>
      </c>
    </row>
    <row r="10" spans="1:5" x14ac:dyDescent="0.2">
      <c r="A10">
        <v>2027</v>
      </c>
      <c r="B10">
        <v>198.31488078350961</v>
      </c>
      <c r="C10">
        <v>3865.7139999999999</v>
      </c>
      <c r="D10">
        <f t="shared" si="0"/>
        <v>4590.24</v>
      </c>
      <c r="E10">
        <f t="shared" si="1"/>
        <v>0.95858565147089614</v>
      </c>
    </row>
    <row r="11" spans="1:5" x14ac:dyDescent="0.2">
      <c r="A11">
        <v>2028</v>
      </c>
      <c r="B11">
        <v>243.32713966783919</v>
      </c>
      <c r="C11">
        <v>4520.7139999999999</v>
      </c>
      <c r="D11">
        <f t="shared" si="0"/>
        <v>4590.24</v>
      </c>
      <c r="E11">
        <f t="shared" si="1"/>
        <v>0.94965888904885254</v>
      </c>
    </row>
    <row r="12" spans="1:5" x14ac:dyDescent="0.2">
      <c r="A12">
        <v>2029</v>
      </c>
      <c r="B12">
        <v>65.274302383739268</v>
      </c>
      <c r="C12">
        <v>4955.7139999999999</v>
      </c>
      <c r="D12">
        <f t="shared" si="0"/>
        <v>3048.48</v>
      </c>
      <c r="E12">
        <f t="shared" si="1"/>
        <v>0.97903678452286091</v>
      </c>
    </row>
    <row r="13" spans="1:5" x14ac:dyDescent="0.2">
      <c r="A13">
        <v>2030</v>
      </c>
      <c r="B13">
        <v>108.64580492742969</v>
      </c>
      <c r="C13">
        <v>5074.7139999999999</v>
      </c>
      <c r="D13">
        <f t="shared" si="0"/>
        <v>833.952</v>
      </c>
      <c r="E13">
        <f t="shared" si="1"/>
        <v>0.88473789737310671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B11A-6F7C-6C44-B05B-892FDC055600}">
  <dimension ref="A1:E13"/>
  <sheetViews>
    <sheetView workbookViewId="0">
      <selection activeCell="D1" sqref="D1:D1048576"/>
    </sheetView>
  </sheetViews>
  <sheetFormatPr baseColWidth="10" defaultRowHeight="16" x14ac:dyDescent="0.2"/>
  <cols>
    <col min="3" max="3" width="18.83203125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2019</v>
      </c>
      <c r="B2">
        <v>146.4669483343969</v>
      </c>
      <c r="C2">
        <v>0</v>
      </c>
    </row>
    <row r="3" spans="1:5" x14ac:dyDescent="0.2">
      <c r="A3">
        <v>2020</v>
      </c>
      <c r="B3">
        <v>452.71291060734802</v>
      </c>
      <c r="C3">
        <v>0</v>
      </c>
      <c r="D3">
        <f>(C3-C2)*8760*0.8/1000</f>
        <v>0</v>
      </c>
      <c r="E3">
        <f>IF(MAX(B3,0)+MAX(D3,0)&gt;0, MAX(D3,0)/(MAX(B3,0)+MAX(D3,0)), "")</f>
        <v>0</v>
      </c>
    </row>
    <row r="4" spans="1:5" x14ac:dyDescent="0.2">
      <c r="A4">
        <v>2021</v>
      </c>
      <c r="B4">
        <v>260.82685794010831</v>
      </c>
      <c r="C4">
        <v>0</v>
      </c>
      <c r="D4">
        <f t="shared" ref="D4:D13" si="0">(C4-C3)*8760*0.8/1000</f>
        <v>0</v>
      </c>
      <c r="E4">
        <f t="shared" ref="E4:E13" si="1">IF(MAX(B4,0)+MAX(D4,0)&gt;0, MAX(D4,0)/(MAX(B4,0)+MAX(D4,0)), "")</f>
        <v>0</v>
      </c>
    </row>
    <row r="5" spans="1:5" x14ac:dyDescent="0.2">
      <c r="A5">
        <v>2022</v>
      </c>
      <c r="B5">
        <v>-253.78193717130131</v>
      </c>
      <c r="C5">
        <v>9.68</v>
      </c>
      <c r="D5">
        <f t="shared" si="0"/>
        <v>67.837440000000001</v>
      </c>
      <c r="E5">
        <f t="shared" si="1"/>
        <v>1</v>
      </c>
    </row>
    <row r="6" spans="1:5" x14ac:dyDescent="0.2">
      <c r="A6">
        <v>2023</v>
      </c>
      <c r="B6">
        <v>0.39981596210418502</v>
      </c>
      <c r="C6">
        <v>9.68</v>
      </c>
      <c r="D6">
        <f t="shared" si="0"/>
        <v>0</v>
      </c>
      <c r="E6">
        <f t="shared" si="1"/>
        <v>0</v>
      </c>
    </row>
    <row r="7" spans="1:5" x14ac:dyDescent="0.2">
      <c r="A7">
        <v>2024</v>
      </c>
      <c r="B7">
        <v>361.95864599927518</v>
      </c>
      <c r="C7">
        <v>9.68</v>
      </c>
      <c r="D7">
        <f t="shared" si="0"/>
        <v>0</v>
      </c>
      <c r="E7">
        <f t="shared" si="1"/>
        <v>0</v>
      </c>
    </row>
    <row r="8" spans="1:5" x14ac:dyDescent="0.2">
      <c r="A8">
        <v>2025</v>
      </c>
      <c r="B8">
        <v>91.833887115783</v>
      </c>
      <c r="C8">
        <v>9.68</v>
      </c>
      <c r="D8">
        <f t="shared" si="0"/>
        <v>0</v>
      </c>
      <c r="E8">
        <f t="shared" si="1"/>
        <v>0</v>
      </c>
    </row>
    <row r="9" spans="1:5" x14ac:dyDescent="0.2">
      <c r="A9">
        <v>2026</v>
      </c>
      <c r="B9">
        <v>105.95345350524801</v>
      </c>
      <c r="C9">
        <v>57.68</v>
      </c>
      <c r="D9">
        <f t="shared" si="0"/>
        <v>336.38400000000001</v>
      </c>
      <c r="E9">
        <f t="shared" si="1"/>
        <v>0.76046917875564668</v>
      </c>
    </row>
    <row r="10" spans="1:5" x14ac:dyDescent="0.2">
      <c r="A10">
        <v>2027</v>
      </c>
      <c r="B10">
        <v>118.636370441789</v>
      </c>
      <c r="C10">
        <v>178.19</v>
      </c>
      <c r="D10">
        <f t="shared" si="0"/>
        <v>844.5340799999999</v>
      </c>
      <c r="E10">
        <f t="shared" si="1"/>
        <v>0.87682723199473922</v>
      </c>
    </row>
    <row r="11" spans="1:5" x14ac:dyDescent="0.2">
      <c r="A11">
        <v>2028</v>
      </c>
      <c r="B11">
        <v>141.68312086235531</v>
      </c>
      <c r="C11">
        <v>374.613</v>
      </c>
      <c r="D11">
        <f t="shared" si="0"/>
        <v>1376.5323840000001</v>
      </c>
      <c r="E11">
        <f t="shared" si="1"/>
        <v>0.90667785936279144</v>
      </c>
    </row>
    <row r="12" spans="1:5" x14ac:dyDescent="0.2">
      <c r="A12">
        <v>2029</v>
      </c>
      <c r="B12">
        <v>56.803111734632687</v>
      </c>
      <c r="C12">
        <v>502.613</v>
      </c>
      <c r="D12">
        <f t="shared" si="0"/>
        <v>897.024</v>
      </c>
      <c r="E12">
        <f t="shared" si="1"/>
        <v>0.94044716171746223</v>
      </c>
    </row>
    <row r="13" spans="1:5" x14ac:dyDescent="0.2">
      <c r="A13">
        <v>2030</v>
      </c>
      <c r="B13">
        <v>76.480137265411031</v>
      </c>
      <c r="C13">
        <v>502.613</v>
      </c>
      <c r="D13">
        <f t="shared" si="0"/>
        <v>0</v>
      </c>
      <c r="E13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92755-5E19-754E-A63F-3EC8AC04DB2B}">
  <dimension ref="A1:E13"/>
  <sheetViews>
    <sheetView workbookViewId="0">
      <selection activeCell="D1" sqref="D1:D1048576"/>
    </sheetView>
  </sheetViews>
  <sheetFormatPr baseColWidth="10" defaultRowHeight="16" x14ac:dyDescent="0.2"/>
  <cols>
    <col min="3" max="3" width="18.83203125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2019</v>
      </c>
      <c r="B2">
        <v>14.954957997935709</v>
      </c>
      <c r="C2">
        <v>0</v>
      </c>
    </row>
    <row r="3" spans="1:5" x14ac:dyDescent="0.2">
      <c r="A3">
        <v>2020</v>
      </c>
      <c r="B3">
        <v>395.63559059094041</v>
      </c>
      <c r="C3">
        <v>3.6</v>
      </c>
      <c r="D3">
        <f>(C3-C2)*8760*0.8/1000</f>
        <v>25.228800000000003</v>
      </c>
      <c r="E3">
        <f>IF(MAX(B3,0)+MAX(D3,0)&gt;0, MAX(D3,0)/(MAX(B3,0)+MAX(D3,0)), "")</f>
        <v>5.99451998411554E-2</v>
      </c>
    </row>
    <row r="4" spans="1:5" x14ac:dyDescent="0.2">
      <c r="A4">
        <v>2021</v>
      </c>
      <c r="B4">
        <v>203.1801691504443</v>
      </c>
      <c r="C4">
        <v>8.6</v>
      </c>
      <c r="D4">
        <f t="shared" ref="D4:D13" si="0">(C4-C3)*8760*0.8/1000</f>
        <v>35.04</v>
      </c>
      <c r="E4">
        <f t="shared" ref="E4:E12" si="1">IF(MAX(B4,0)+MAX(D4,0)&gt;0, MAX(D4,0)/(MAX(B4,0)+MAX(D4,0)), "")</f>
        <v>0.14709081991236025</v>
      </c>
    </row>
    <row r="5" spans="1:5" x14ac:dyDescent="0.2">
      <c r="A5">
        <v>2022</v>
      </c>
      <c r="B5">
        <v>-444.43291691863851</v>
      </c>
      <c r="C5">
        <v>103.85</v>
      </c>
      <c r="D5">
        <f t="shared" si="0"/>
        <v>667.51199999999994</v>
      </c>
      <c r="E5">
        <f t="shared" si="1"/>
        <v>1</v>
      </c>
    </row>
    <row r="6" spans="1:5" x14ac:dyDescent="0.2">
      <c r="A6">
        <v>2023</v>
      </c>
      <c r="B6">
        <v>25.50142079782745</v>
      </c>
      <c r="C6">
        <v>105.15600000000001</v>
      </c>
      <c r="D6">
        <f t="shared" si="0"/>
        <v>9.1524480000000814</v>
      </c>
      <c r="E6">
        <f t="shared" si="1"/>
        <v>0.26411042453574057</v>
      </c>
    </row>
    <row r="7" spans="1:5" x14ac:dyDescent="0.2">
      <c r="A7">
        <v>2024</v>
      </c>
      <c r="B7">
        <v>123.0056293714333</v>
      </c>
      <c r="C7">
        <v>111.65600000000001</v>
      </c>
      <c r="D7">
        <f t="shared" si="0"/>
        <v>45.552</v>
      </c>
      <c r="E7">
        <f t="shared" si="1"/>
        <v>0.27024585104730969</v>
      </c>
    </row>
    <row r="8" spans="1:5" x14ac:dyDescent="0.2">
      <c r="A8">
        <v>2025</v>
      </c>
      <c r="B8">
        <v>15.40772970511534</v>
      </c>
      <c r="C8">
        <v>281.65600000000001</v>
      </c>
      <c r="D8">
        <f t="shared" si="0"/>
        <v>1191.3599999999999</v>
      </c>
      <c r="E8">
        <f t="shared" si="1"/>
        <v>0.98723223257811143</v>
      </c>
    </row>
    <row r="9" spans="1:5" x14ac:dyDescent="0.2">
      <c r="A9">
        <v>2026</v>
      </c>
      <c r="B9">
        <v>31.71083879956495</v>
      </c>
      <c r="C9">
        <v>377.65600000000001</v>
      </c>
      <c r="D9">
        <f t="shared" si="0"/>
        <v>672.76800000000003</v>
      </c>
      <c r="E9">
        <f t="shared" si="1"/>
        <v>0.95498681145114261</v>
      </c>
    </row>
    <row r="10" spans="1:5" x14ac:dyDescent="0.2">
      <c r="A10">
        <v>2027</v>
      </c>
      <c r="B10">
        <v>46.833278208861877</v>
      </c>
      <c r="C10">
        <v>411.65600000000001</v>
      </c>
      <c r="D10">
        <f t="shared" si="0"/>
        <v>238.27199999999999</v>
      </c>
      <c r="E10">
        <f t="shared" si="1"/>
        <v>0.83573338766968441</v>
      </c>
    </row>
    <row r="11" spans="1:5" x14ac:dyDescent="0.2">
      <c r="A11">
        <v>2028</v>
      </c>
      <c r="B11">
        <v>68.894257669875515</v>
      </c>
      <c r="C11">
        <v>445.65600000000001</v>
      </c>
      <c r="D11">
        <f t="shared" si="0"/>
        <v>238.27199999999999</v>
      </c>
      <c r="E11">
        <f t="shared" si="1"/>
        <v>0.77571020270097812</v>
      </c>
    </row>
    <row r="12" spans="1:5" x14ac:dyDescent="0.2">
      <c r="A12">
        <v>2029</v>
      </c>
      <c r="B12">
        <v>-41.073051063733153</v>
      </c>
      <c r="C12">
        <v>479.65600000000001</v>
      </c>
      <c r="D12">
        <f t="shared" si="0"/>
        <v>238.27199999999999</v>
      </c>
      <c r="E12">
        <f t="shared" si="1"/>
        <v>1</v>
      </c>
    </row>
    <row r="13" spans="1:5" x14ac:dyDescent="0.2">
      <c r="A13">
        <v>2030</v>
      </c>
      <c r="B13">
        <v>-22.172980541887231</v>
      </c>
      <c r="C13">
        <v>479.65600000000001</v>
      </c>
      <c r="D13">
        <f t="shared" si="0"/>
        <v>0</v>
      </c>
      <c r="E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B251-CBBF-724C-963F-2BB5188A294E}">
  <dimension ref="A1:E13"/>
  <sheetViews>
    <sheetView workbookViewId="0">
      <selection activeCell="D1" sqref="D1:D1048576"/>
    </sheetView>
  </sheetViews>
  <sheetFormatPr baseColWidth="10" defaultRowHeight="16" x14ac:dyDescent="0.2"/>
  <cols>
    <col min="3" max="3" width="18.83203125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2019</v>
      </c>
      <c r="B2">
        <v>144.6898083805354</v>
      </c>
      <c r="C2">
        <v>0</v>
      </c>
    </row>
    <row r="3" spans="1:5" x14ac:dyDescent="0.2">
      <c r="A3">
        <v>2020</v>
      </c>
      <c r="B3">
        <v>352.52467872443412</v>
      </c>
      <c r="C3">
        <v>0</v>
      </c>
      <c r="D3">
        <f>(C3-C2)*8760*0.8/1000</f>
        <v>0</v>
      </c>
      <c r="E3">
        <f>IF(MAX(B3,0)+MAX(D3,0)&gt;0, MAX(D3,0)/(MAX(B3,0)+MAX(D3,0)), "")</f>
        <v>0</v>
      </c>
    </row>
    <row r="4" spans="1:5" x14ac:dyDescent="0.2">
      <c r="A4">
        <v>2021</v>
      </c>
      <c r="B4">
        <v>143.05537220828589</v>
      </c>
      <c r="C4">
        <v>0</v>
      </c>
      <c r="D4">
        <f t="shared" ref="D4:D13" si="0">(C4-C3)*8760*0.8/1000</f>
        <v>0</v>
      </c>
      <c r="E4">
        <f t="shared" ref="E4:E13" si="1">IF(MAX(B4,0)+MAX(D4,0)&gt;0, MAX(D4,0)/(MAX(B4,0)+MAX(D4,0)), "")</f>
        <v>0</v>
      </c>
    </row>
    <row r="5" spans="1:5" x14ac:dyDescent="0.2">
      <c r="A5">
        <v>2022</v>
      </c>
      <c r="B5">
        <v>-171.0841378087953</v>
      </c>
      <c r="C5">
        <v>6.8620000000000001</v>
      </c>
      <c r="D5">
        <f t="shared" si="0"/>
        <v>48.088896000000005</v>
      </c>
      <c r="E5">
        <f t="shared" si="1"/>
        <v>1</v>
      </c>
    </row>
    <row r="6" spans="1:5" x14ac:dyDescent="0.2">
      <c r="A6">
        <v>2023</v>
      </c>
      <c r="B6">
        <v>43.61966713585025</v>
      </c>
      <c r="C6">
        <v>14.151999999999999</v>
      </c>
      <c r="D6">
        <f t="shared" si="0"/>
        <v>51.088320000000003</v>
      </c>
      <c r="E6">
        <f t="shared" si="1"/>
        <v>0.53942989968436672</v>
      </c>
    </row>
    <row r="7" spans="1:5" x14ac:dyDescent="0.2">
      <c r="A7">
        <v>2024</v>
      </c>
      <c r="B7">
        <v>134.9676942919705</v>
      </c>
      <c r="C7">
        <v>14.151999999999999</v>
      </c>
      <c r="D7">
        <f t="shared" si="0"/>
        <v>0</v>
      </c>
      <c r="E7">
        <f t="shared" si="1"/>
        <v>0</v>
      </c>
    </row>
    <row r="8" spans="1:5" x14ac:dyDescent="0.2">
      <c r="A8">
        <v>2025</v>
      </c>
      <c r="B8">
        <v>28.133834735330311</v>
      </c>
      <c r="C8">
        <v>14.151999999999999</v>
      </c>
      <c r="D8">
        <f t="shared" si="0"/>
        <v>0</v>
      </c>
      <c r="E8">
        <f t="shared" si="1"/>
        <v>0</v>
      </c>
    </row>
    <row r="9" spans="1:5" x14ac:dyDescent="0.2">
      <c r="A9">
        <v>2026</v>
      </c>
      <c r="B9">
        <v>37.173518253282957</v>
      </c>
      <c r="C9">
        <v>14.151999999999999</v>
      </c>
      <c r="D9">
        <f t="shared" si="0"/>
        <v>0</v>
      </c>
      <c r="E9">
        <f t="shared" si="1"/>
        <v>0</v>
      </c>
    </row>
    <row r="10" spans="1:5" x14ac:dyDescent="0.2">
      <c r="A10">
        <v>2027</v>
      </c>
      <c r="B10">
        <v>46.844764622803268</v>
      </c>
      <c r="C10">
        <v>14.151999999999999</v>
      </c>
      <c r="D10">
        <f t="shared" si="0"/>
        <v>0</v>
      </c>
      <c r="E10">
        <f t="shared" si="1"/>
        <v>0</v>
      </c>
    </row>
    <row r="11" spans="1:5" x14ac:dyDescent="0.2">
      <c r="A11">
        <v>2028</v>
      </c>
      <c r="B11">
        <v>63.415136561028703</v>
      </c>
      <c r="C11">
        <v>14.151999999999999</v>
      </c>
      <c r="D11">
        <f t="shared" si="0"/>
        <v>0</v>
      </c>
      <c r="E11">
        <f t="shared" si="1"/>
        <v>0</v>
      </c>
    </row>
    <row r="12" spans="1:5" x14ac:dyDescent="0.2">
      <c r="A12">
        <v>2029</v>
      </c>
      <c r="B12">
        <v>7.0070154564818949</v>
      </c>
      <c r="C12">
        <v>14.151999999999999</v>
      </c>
      <c r="D12">
        <f t="shared" si="0"/>
        <v>0</v>
      </c>
      <c r="E12">
        <f t="shared" si="1"/>
        <v>0</v>
      </c>
    </row>
    <row r="13" spans="1:5" x14ac:dyDescent="0.2">
      <c r="A13">
        <v>2030</v>
      </c>
      <c r="B13">
        <v>22.027342207702532</v>
      </c>
      <c r="C13">
        <v>14.151999999999999</v>
      </c>
      <c r="D13">
        <f t="shared" si="0"/>
        <v>0</v>
      </c>
      <c r="E13">
        <f t="shared" si="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77018-6200-BD4A-B222-40C7D9D9AB8F}">
  <dimension ref="A1:E13"/>
  <sheetViews>
    <sheetView workbookViewId="0">
      <selection activeCell="D1" sqref="D1:D1048576"/>
    </sheetView>
  </sheetViews>
  <sheetFormatPr baseColWidth="10" defaultRowHeight="16" x14ac:dyDescent="0.2"/>
  <cols>
    <col min="3" max="3" width="18.83203125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2019</v>
      </c>
      <c r="B2">
        <v>140.30886915771771</v>
      </c>
      <c r="C2">
        <v>0</v>
      </c>
    </row>
    <row r="3" spans="1:5" x14ac:dyDescent="0.2">
      <c r="A3">
        <v>2020</v>
      </c>
      <c r="B3">
        <v>548.91903887179433</v>
      </c>
      <c r="C3">
        <v>87.034999999999997</v>
      </c>
      <c r="D3">
        <f>(C3-C2)*8760*0.8/1000</f>
        <v>609.94128000000001</v>
      </c>
      <c r="E3">
        <f>IF(MAX(B3,0)+MAX(D3,0)&gt;0, MAX(D3,0)/(MAX(B3,0)+MAX(D3,0)), "")</f>
        <v>0.52632855752089847</v>
      </c>
    </row>
    <row r="4" spans="1:5" x14ac:dyDescent="0.2">
      <c r="A4">
        <v>2021</v>
      </c>
      <c r="B4">
        <v>190.87304599125861</v>
      </c>
      <c r="C4">
        <v>179.27500000000001</v>
      </c>
      <c r="D4">
        <f t="shared" ref="D4:D13" si="0">(C4-C3)*8760*0.8/1000</f>
        <v>646.41792000000009</v>
      </c>
      <c r="E4">
        <f t="shared" ref="E4:E13" si="1">IF(MAX(B4,0)+MAX(D4,0)&gt;0, MAX(D4,0)/(MAX(B4,0)+MAX(D4,0)), "")</f>
        <v>0.7720349869471167</v>
      </c>
    </row>
    <row r="5" spans="1:5" x14ac:dyDescent="0.2">
      <c r="A5">
        <v>2022</v>
      </c>
      <c r="B5">
        <v>-482.32614258935058</v>
      </c>
      <c r="C5">
        <v>299.09199999999998</v>
      </c>
      <c r="D5">
        <f t="shared" si="0"/>
        <v>839.67753599999992</v>
      </c>
      <c r="E5">
        <f t="shared" si="1"/>
        <v>1</v>
      </c>
    </row>
    <row r="6" spans="1:5" x14ac:dyDescent="0.2">
      <c r="A6">
        <v>2023</v>
      </c>
      <c r="B6">
        <v>14.84181401944079</v>
      </c>
      <c r="C6">
        <v>562.04200000000003</v>
      </c>
      <c r="D6">
        <f t="shared" si="0"/>
        <v>1842.7536000000005</v>
      </c>
      <c r="E6">
        <f t="shared" si="1"/>
        <v>0.99201020097948767</v>
      </c>
    </row>
    <row r="7" spans="1:5" x14ac:dyDescent="0.2">
      <c r="A7">
        <v>2024</v>
      </c>
      <c r="B7">
        <v>233.45224531075289</v>
      </c>
      <c r="C7">
        <v>1236.992</v>
      </c>
      <c r="D7">
        <f t="shared" si="0"/>
        <v>4730.0495999999994</v>
      </c>
      <c r="E7">
        <f t="shared" si="1"/>
        <v>0.95296622171475454</v>
      </c>
    </row>
    <row r="8" spans="1:5" x14ac:dyDescent="0.2">
      <c r="A8">
        <v>2025</v>
      </c>
      <c r="B8">
        <v>37.799401115822548</v>
      </c>
      <c r="C8">
        <v>1831.4390000000001</v>
      </c>
      <c r="D8">
        <f t="shared" si="0"/>
        <v>4165.8845760000004</v>
      </c>
      <c r="E8">
        <f t="shared" si="1"/>
        <v>0.99100802978492286</v>
      </c>
    </row>
    <row r="9" spans="1:5" x14ac:dyDescent="0.2">
      <c r="A9">
        <v>2026</v>
      </c>
      <c r="B9">
        <v>33.493731843795103</v>
      </c>
      <c r="C9">
        <v>2184.2579999999998</v>
      </c>
      <c r="D9">
        <f t="shared" si="0"/>
        <v>2472.5555519999984</v>
      </c>
      <c r="E9">
        <f t="shared" si="1"/>
        <v>0.98663484710387572</v>
      </c>
    </row>
    <row r="10" spans="1:5" x14ac:dyDescent="0.2">
      <c r="A10">
        <v>2027</v>
      </c>
      <c r="B10">
        <v>49.464898606100178</v>
      </c>
      <c r="C10">
        <v>2556.2579999999998</v>
      </c>
      <c r="D10">
        <f t="shared" si="0"/>
        <v>2606.9760000000001</v>
      </c>
      <c r="E10">
        <f t="shared" si="1"/>
        <v>0.98137925875480403</v>
      </c>
    </row>
    <row r="11" spans="1:5" x14ac:dyDescent="0.2">
      <c r="A11">
        <v>2028</v>
      </c>
      <c r="B11">
        <v>72.399023879213928</v>
      </c>
      <c r="C11">
        <v>3225.6579999999999</v>
      </c>
      <c r="D11">
        <f t="shared" si="0"/>
        <v>4691.1552000000011</v>
      </c>
      <c r="E11">
        <f t="shared" si="1"/>
        <v>0.98480146955895143</v>
      </c>
    </row>
    <row r="12" spans="1:5" x14ac:dyDescent="0.2">
      <c r="A12">
        <v>2029</v>
      </c>
      <c r="B12">
        <v>-73.597628785235429</v>
      </c>
      <c r="C12">
        <v>3823.6579999999999</v>
      </c>
      <c r="D12">
        <f t="shared" si="0"/>
        <v>4190.7839999999997</v>
      </c>
      <c r="E12">
        <f t="shared" si="1"/>
        <v>1</v>
      </c>
    </row>
    <row r="13" spans="1:5" x14ac:dyDescent="0.2">
      <c r="A13">
        <v>2030</v>
      </c>
      <c r="B13">
        <v>-42.880715402392518</v>
      </c>
      <c r="C13">
        <v>4219.6580000000004</v>
      </c>
      <c r="D13">
        <f t="shared" si="0"/>
        <v>2775.1680000000038</v>
      </c>
      <c r="E13">
        <f t="shared" si="1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BD60F-AA2C-0E4B-B1D9-163BC8C9BFA9}">
  <dimension ref="A1:E13"/>
  <sheetViews>
    <sheetView workbookViewId="0">
      <selection activeCell="D1" sqref="D1:D1048576"/>
    </sheetView>
  </sheetViews>
  <sheetFormatPr baseColWidth="10" defaultRowHeight="16" x14ac:dyDescent="0.2"/>
  <cols>
    <col min="3" max="3" width="18.83203125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2019</v>
      </c>
      <c r="B2">
        <v>16.57682579790799</v>
      </c>
      <c r="C2">
        <v>0</v>
      </c>
    </row>
    <row r="3" spans="1:5" x14ac:dyDescent="0.2">
      <c r="A3">
        <v>2020</v>
      </c>
      <c r="B3">
        <v>133.5640102066736</v>
      </c>
      <c r="C3">
        <v>0</v>
      </c>
      <c r="D3">
        <f>(C3-C2)*8760*0.8/1000</f>
        <v>0</v>
      </c>
      <c r="E3">
        <f>IF(MAX(B3,0)+MAX(D3,0)&gt;0, MAX(D3,0)/(MAX(B3,0)+MAX(D3,0)), "")</f>
        <v>0</v>
      </c>
    </row>
    <row r="4" spans="1:5" x14ac:dyDescent="0.2">
      <c r="A4">
        <v>2021</v>
      </c>
      <c r="B4">
        <v>47.217587150292267</v>
      </c>
      <c r="C4">
        <v>0</v>
      </c>
      <c r="D4">
        <f t="shared" ref="D4:D13" si="0">(C4-C3)*8760*0.8/1000</f>
        <v>0</v>
      </c>
      <c r="E4">
        <f t="shared" ref="E4:E11" si="1">IF(MAX(B4,0)+MAX(D4,0)&gt;0, MAX(D4,0)/(MAX(B4,0)+MAX(D4,0)), "")</f>
        <v>0</v>
      </c>
    </row>
    <row r="5" spans="1:5" x14ac:dyDescent="0.2">
      <c r="A5">
        <v>2022</v>
      </c>
      <c r="B5">
        <v>-107.7682613284769</v>
      </c>
      <c r="C5">
        <v>0</v>
      </c>
      <c r="D5">
        <f t="shared" si="0"/>
        <v>0</v>
      </c>
      <c r="E5">
        <v>0</v>
      </c>
    </row>
    <row r="6" spans="1:5" x14ac:dyDescent="0.2">
      <c r="A6">
        <v>2023</v>
      </c>
      <c r="B6">
        <v>14.840924093011379</v>
      </c>
      <c r="C6">
        <v>0.27</v>
      </c>
      <c r="D6">
        <f t="shared" si="0"/>
        <v>1.8921600000000003</v>
      </c>
      <c r="E6">
        <f t="shared" si="1"/>
        <v>0.11307897512989053</v>
      </c>
    </row>
    <row r="7" spans="1:5" x14ac:dyDescent="0.2">
      <c r="A7">
        <v>2024</v>
      </c>
      <c r="B7">
        <v>40.109908717401588</v>
      </c>
      <c r="C7">
        <v>0.27</v>
      </c>
      <c r="D7">
        <f t="shared" si="0"/>
        <v>0</v>
      </c>
      <c r="E7">
        <f t="shared" si="1"/>
        <v>0</v>
      </c>
    </row>
    <row r="8" spans="1:5" x14ac:dyDescent="0.2">
      <c r="A8">
        <v>2025</v>
      </c>
      <c r="B8">
        <v>11.025807471557529</v>
      </c>
      <c r="C8">
        <v>0.27</v>
      </c>
      <c r="D8">
        <f t="shared" si="0"/>
        <v>0</v>
      </c>
      <c r="E8">
        <f t="shared" si="1"/>
        <v>0</v>
      </c>
    </row>
    <row r="9" spans="1:5" x14ac:dyDescent="0.2">
      <c r="A9">
        <v>2026</v>
      </c>
      <c r="B9">
        <v>9.3274827327250023</v>
      </c>
      <c r="C9">
        <v>0.27</v>
      </c>
      <c r="D9">
        <f t="shared" si="0"/>
        <v>0</v>
      </c>
      <c r="E9">
        <f t="shared" si="1"/>
        <v>0</v>
      </c>
    </row>
    <row r="10" spans="1:5" x14ac:dyDescent="0.2">
      <c r="A10">
        <v>2027</v>
      </c>
      <c r="B10">
        <v>11.7553200659213</v>
      </c>
      <c r="C10">
        <v>0.27</v>
      </c>
      <c r="D10">
        <f t="shared" si="0"/>
        <v>0</v>
      </c>
      <c r="E10">
        <f t="shared" si="1"/>
        <v>0</v>
      </c>
    </row>
    <row r="11" spans="1:5" x14ac:dyDescent="0.2">
      <c r="A11">
        <v>2028</v>
      </c>
      <c r="B11">
        <v>18.818053481881179</v>
      </c>
      <c r="C11">
        <v>0.27</v>
      </c>
      <c r="D11">
        <f t="shared" si="0"/>
        <v>0</v>
      </c>
      <c r="E11">
        <f t="shared" si="1"/>
        <v>0</v>
      </c>
    </row>
    <row r="12" spans="1:5" x14ac:dyDescent="0.2">
      <c r="A12">
        <v>2029</v>
      </c>
      <c r="B12">
        <v>-8.7118767467882208</v>
      </c>
      <c r="C12">
        <v>0.27</v>
      </c>
      <c r="D12">
        <f t="shared" si="0"/>
        <v>0</v>
      </c>
      <c r="E12">
        <v>0</v>
      </c>
    </row>
    <row r="13" spans="1:5" x14ac:dyDescent="0.2">
      <c r="A13">
        <v>2030</v>
      </c>
      <c r="B13">
        <v>-2.9043044319414548</v>
      </c>
      <c r="C13">
        <v>0.27</v>
      </c>
      <c r="D13">
        <f t="shared" si="0"/>
        <v>0</v>
      </c>
      <c r="E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E4D13-0171-7E4D-AB94-652892B725C8}">
  <dimension ref="A1:E13"/>
  <sheetViews>
    <sheetView workbookViewId="0">
      <selection activeCell="D1" sqref="D1:D1048576"/>
    </sheetView>
  </sheetViews>
  <sheetFormatPr baseColWidth="10" defaultRowHeight="16" x14ac:dyDescent="0.2"/>
  <cols>
    <col min="3" max="3" width="18.83203125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2019</v>
      </c>
      <c r="B2">
        <v>82.626228803112099</v>
      </c>
      <c r="C2">
        <v>0</v>
      </c>
    </row>
    <row r="3" spans="1:5" x14ac:dyDescent="0.2">
      <c r="A3">
        <v>2020</v>
      </c>
      <c r="B3">
        <v>213.92969859319419</v>
      </c>
      <c r="C3">
        <v>58</v>
      </c>
      <c r="D3">
        <f>(C3-C2)*8760*0.8/1000</f>
        <v>406.464</v>
      </c>
      <c r="E3">
        <f>IF(MAX(B3,0)+MAX(D3,0)&gt;0, MAX(D3,0)/(MAX(B3,0)+MAX(D3,0)), "")</f>
        <v>0.65517106463476094</v>
      </c>
    </row>
    <row r="4" spans="1:5" x14ac:dyDescent="0.2">
      <c r="A4">
        <v>2021</v>
      </c>
      <c r="B4">
        <v>55.623249700885943</v>
      </c>
      <c r="C4">
        <v>58</v>
      </c>
      <c r="D4">
        <f t="shared" ref="D4:D13" si="0">(C4-C3)*8760*0.8/1000</f>
        <v>0</v>
      </c>
      <c r="E4">
        <f t="shared" ref="E4:E13" si="1">IF(MAX(B4,0)+MAX(D4,0)&gt;0, MAX(D4,0)/(MAX(B4,0)+MAX(D4,0)), "")</f>
        <v>0</v>
      </c>
    </row>
    <row r="5" spans="1:5" x14ac:dyDescent="0.2">
      <c r="A5">
        <v>2022</v>
      </c>
      <c r="B5">
        <v>149.145740831691</v>
      </c>
      <c r="C5">
        <v>60</v>
      </c>
      <c r="D5">
        <f t="shared" si="0"/>
        <v>14.016</v>
      </c>
      <c r="E5">
        <f t="shared" si="1"/>
        <v>8.5902491163404315E-2</v>
      </c>
    </row>
    <row r="6" spans="1:5" x14ac:dyDescent="0.2">
      <c r="A6">
        <v>2023</v>
      </c>
      <c r="B6">
        <v>54.909177979337983</v>
      </c>
      <c r="C6">
        <v>71.95</v>
      </c>
      <c r="D6">
        <f t="shared" si="0"/>
        <v>83.745600000000039</v>
      </c>
      <c r="E6">
        <f t="shared" si="1"/>
        <v>0.60398639859694991</v>
      </c>
    </row>
    <row r="7" spans="1:5" x14ac:dyDescent="0.2">
      <c r="A7">
        <v>2024</v>
      </c>
      <c r="B7">
        <v>-8.1715102617090452</v>
      </c>
      <c r="C7">
        <v>73.75</v>
      </c>
      <c r="D7">
        <f t="shared" si="0"/>
        <v>12.61439999999998</v>
      </c>
      <c r="E7">
        <f t="shared" si="1"/>
        <v>1</v>
      </c>
    </row>
    <row r="8" spans="1:5" x14ac:dyDescent="0.2">
      <c r="A8">
        <v>2025</v>
      </c>
      <c r="B8">
        <v>47.497327780727566</v>
      </c>
      <c r="C8">
        <v>73.75</v>
      </c>
      <c r="D8">
        <f t="shared" si="0"/>
        <v>0</v>
      </c>
      <c r="E8">
        <f t="shared" si="1"/>
        <v>0</v>
      </c>
    </row>
    <row r="9" spans="1:5" x14ac:dyDescent="0.2">
      <c r="A9">
        <v>2026</v>
      </c>
      <c r="B9">
        <v>47.301267861574161</v>
      </c>
      <c r="C9">
        <v>73.75</v>
      </c>
      <c r="D9">
        <f t="shared" si="0"/>
        <v>0</v>
      </c>
      <c r="E9">
        <f t="shared" si="1"/>
        <v>0</v>
      </c>
    </row>
    <row r="10" spans="1:5" x14ac:dyDescent="0.2">
      <c r="A10">
        <v>2027</v>
      </c>
      <c r="B10">
        <v>51.207691893492672</v>
      </c>
      <c r="C10">
        <v>73.75</v>
      </c>
      <c r="D10">
        <f t="shared" si="0"/>
        <v>0</v>
      </c>
      <c r="E10">
        <f t="shared" si="1"/>
        <v>0</v>
      </c>
    </row>
    <row r="11" spans="1:5" x14ac:dyDescent="0.2">
      <c r="A11">
        <v>2028</v>
      </c>
      <c r="B11">
        <v>61.112299169737533</v>
      </c>
      <c r="C11">
        <v>73.75</v>
      </c>
      <c r="D11">
        <f t="shared" si="0"/>
        <v>0</v>
      </c>
      <c r="E11">
        <f t="shared" si="1"/>
        <v>0</v>
      </c>
    </row>
    <row r="12" spans="1:5" x14ac:dyDescent="0.2">
      <c r="A12">
        <v>2029</v>
      </c>
      <c r="B12">
        <v>17.01608599850988</v>
      </c>
      <c r="C12">
        <v>73.75</v>
      </c>
      <c r="D12">
        <f t="shared" si="0"/>
        <v>0</v>
      </c>
      <c r="E12">
        <f t="shared" si="1"/>
        <v>0</v>
      </c>
    </row>
    <row r="13" spans="1:5" x14ac:dyDescent="0.2">
      <c r="A13">
        <v>2030</v>
      </c>
      <c r="B13">
        <v>25.976232469083701</v>
      </c>
      <c r="C13">
        <v>73.75</v>
      </c>
      <c r="D13">
        <f t="shared" si="0"/>
        <v>0</v>
      </c>
      <c r="E13">
        <f t="shared" si="1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2FEB3-B6B7-C94B-9551-851C71118342}">
  <dimension ref="A1:E13"/>
  <sheetViews>
    <sheetView workbookViewId="0">
      <selection activeCell="D1" sqref="D1:D1048576"/>
    </sheetView>
  </sheetViews>
  <sheetFormatPr baseColWidth="10" defaultRowHeight="16" x14ac:dyDescent="0.2"/>
  <cols>
    <col min="3" max="3" width="18.83203125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2019</v>
      </c>
      <c r="B2">
        <v>513.93555038556951</v>
      </c>
      <c r="C2">
        <v>0</v>
      </c>
    </row>
    <row r="3" spans="1:5" x14ac:dyDescent="0.2">
      <c r="A3">
        <v>2020</v>
      </c>
      <c r="B3">
        <v>992.34611164239323</v>
      </c>
      <c r="C3">
        <v>366.024</v>
      </c>
      <c r="D3">
        <f>(C3-C2)*8760*0.8/1000</f>
        <v>2565.0961920000004</v>
      </c>
      <c r="E3">
        <f>IF(MAX(B3,0)+MAX(D3,0)&gt;0, MAX(D3,0)/(MAX(B3,0)+MAX(D3,0)), "")</f>
        <v>0.72105067997129568</v>
      </c>
    </row>
    <row r="4" spans="1:5" x14ac:dyDescent="0.2">
      <c r="A4">
        <v>2021</v>
      </c>
      <c r="B4">
        <v>758.72619601269253</v>
      </c>
      <c r="C4">
        <v>1080.08</v>
      </c>
      <c r="D4">
        <f t="shared" ref="D4:D13" si="0">(C4-C3)*8760*0.8/1000</f>
        <v>5004.104448</v>
      </c>
      <c r="E4">
        <f t="shared" ref="E4:E13" si="1">IF(MAX(B4,0)+MAX(D4,0)&gt;0, MAX(D4,0)/(MAX(B4,0)+MAX(D4,0)), "")</f>
        <v>0.8683414032302037</v>
      </c>
    </row>
    <row r="5" spans="1:5" x14ac:dyDescent="0.2">
      <c r="A5">
        <v>2022</v>
      </c>
      <c r="B5">
        <v>-342.98032933523791</v>
      </c>
      <c r="C5">
        <v>1657.8920000000001</v>
      </c>
      <c r="D5">
        <f t="shared" si="0"/>
        <v>4049.3064960000011</v>
      </c>
      <c r="E5">
        <f t="shared" si="1"/>
        <v>1</v>
      </c>
    </row>
    <row r="6" spans="1:5" x14ac:dyDescent="0.2">
      <c r="A6">
        <v>2023</v>
      </c>
      <c r="B6">
        <v>183.66449308449961</v>
      </c>
      <c r="C6">
        <v>2762.9009999999998</v>
      </c>
      <c r="D6">
        <f t="shared" si="0"/>
        <v>7743.9030719999992</v>
      </c>
      <c r="E6">
        <f t="shared" si="1"/>
        <v>0.97683217562302271</v>
      </c>
    </row>
    <row r="7" spans="1:5" x14ac:dyDescent="0.2">
      <c r="A7">
        <v>2024</v>
      </c>
      <c r="B7">
        <v>604.66442150990042</v>
      </c>
      <c r="C7">
        <v>4515.4399999999996</v>
      </c>
      <c r="D7">
        <f t="shared" si="0"/>
        <v>12281.793312</v>
      </c>
      <c r="E7">
        <f t="shared" si="1"/>
        <v>0.9530775303800102</v>
      </c>
    </row>
    <row r="8" spans="1:5" x14ac:dyDescent="0.2">
      <c r="A8">
        <v>2025</v>
      </c>
      <c r="B8">
        <v>226.42440869105491</v>
      </c>
      <c r="C8">
        <v>7913.9480000000003</v>
      </c>
      <c r="D8">
        <f t="shared" si="0"/>
        <v>23816.744064000006</v>
      </c>
      <c r="E8">
        <f t="shared" si="1"/>
        <v>0.9905825886073113</v>
      </c>
    </row>
    <row r="9" spans="1:5" x14ac:dyDescent="0.2">
      <c r="A9">
        <v>2026</v>
      </c>
      <c r="B9">
        <v>249.6317632802529</v>
      </c>
      <c r="C9">
        <v>12502.337</v>
      </c>
      <c r="D9">
        <f t="shared" si="0"/>
        <v>32155.430111999995</v>
      </c>
      <c r="E9">
        <f t="shared" si="1"/>
        <v>0.99229651946843889</v>
      </c>
    </row>
    <row r="10" spans="1:5" x14ac:dyDescent="0.2">
      <c r="A10">
        <v>2027</v>
      </c>
      <c r="B10">
        <v>273.06289545666368</v>
      </c>
      <c r="C10">
        <v>18616.192999999999</v>
      </c>
      <c r="D10">
        <f t="shared" si="0"/>
        <v>42845.902847999998</v>
      </c>
      <c r="E10">
        <f t="shared" si="1"/>
        <v>0.99366722065920376</v>
      </c>
    </row>
    <row r="11" spans="1:5" x14ac:dyDescent="0.2">
      <c r="A11">
        <v>2028</v>
      </c>
      <c r="B11">
        <v>318.68634789553471</v>
      </c>
      <c r="C11">
        <v>23224.681</v>
      </c>
      <c r="D11">
        <f t="shared" si="0"/>
        <v>32296.283904000011</v>
      </c>
      <c r="E11">
        <f t="shared" si="1"/>
        <v>0.99022883217632207</v>
      </c>
    </row>
    <row r="12" spans="1:5" x14ac:dyDescent="0.2">
      <c r="A12">
        <v>2029</v>
      </c>
      <c r="B12">
        <v>144.21100374512031</v>
      </c>
      <c r="C12">
        <v>25775.550999999999</v>
      </c>
      <c r="D12">
        <f t="shared" si="0"/>
        <v>17876.496959999993</v>
      </c>
      <c r="E12">
        <f t="shared" si="1"/>
        <v>0.99199748400366672</v>
      </c>
    </row>
    <row r="13" spans="1:5" x14ac:dyDescent="0.2">
      <c r="A13">
        <v>2030</v>
      </c>
      <c r="B13">
        <v>186.6723759174711</v>
      </c>
      <c r="C13">
        <v>26605.550999999999</v>
      </c>
      <c r="D13">
        <f t="shared" si="0"/>
        <v>5816.64</v>
      </c>
      <c r="E13">
        <f t="shared" si="1"/>
        <v>0.96890510367804372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A3B9-7C37-2C46-97FA-EF37931EFB96}">
  <dimension ref="A1:E13"/>
  <sheetViews>
    <sheetView workbookViewId="0">
      <selection activeCell="D1" sqref="D1:D1048576"/>
    </sheetView>
  </sheetViews>
  <sheetFormatPr baseColWidth="10" defaultRowHeight="16" x14ac:dyDescent="0.2"/>
  <cols>
    <col min="3" max="3" width="18.83203125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2019</v>
      </c>
      <c r="B2">
        <v>62.365055898497758</v>
      </c>
      <c r="C2">
        <v>0</v>
      </c>
    </row>
    <row r="3" spans="1:5" x14ac:dyDescent="0.2">
      <c r="A3">
        <v>2020</v>
      </c>
      <c r="B3">
        <v>75.435902497549705</v>
      </c>
      <c r="C3">
        <v>0</v>
      </c>
      <c r="D3">
        <f>(C3-C2)*8760*0.8/1000</f>
        <v>0</v>
      </c>
      <c r="E3">
        <f>IF(MAX(B3,0)+MAX(D3,0)&gt;0, MAX(D3,0)/(MAX(B3,0)+MAX(D3,0)), "")</f>
        <v>0</v>
      </c>
    </row>
    <row r="4" spans="1:5" x14ac:dyDescent="0.2">
      <c r="A4">
        <v>2021</v>
      </c>
      <c r="B4">
        <v>24.6897749595737</v>
      </c>
      <c r="C4">
        <v>1.0369999999999999</v>
      </c>
      <c r="D4">
        <f t="shared" ref="D4:D13" si="0">(C4-C3)*8760*0.8/1000</f>
        <v>7.2672959999999991</v>
      </c>
      <c r="E4">
        <f t="shared" ref="E4:E13" si="1">IF(MAX(B4,0)+MAX(D4,0)&gt;0, MAX(D4,0)/(MAX(B4,0)+MAX(D4,0)), "")</f>
        <v>0.2274080753268429</v>
      </c>
    </row>
    <row r="5" spans="1:5" x14ac:dyDescent="0.2">
      <c r="A5">
        <v>2022</v>
      </c>
      <c r="B5">
        <v>-0.62050870946222858</v>
      </c>
      <c r="C5">
        <v>1.1950000000000001</v>
      </c>
      <c r="D5">
        <f t="shared" si="0"/>
        <v>1.1072640000000011</v>
      </c>
      <c r="E5">
        <f t="shared" si="1"/>
        <v>1</v>
      </c>
    </row>
    <row r="6" spans="1:5" x14ac:dyDescent="0.2">
      <c r="A6">
        <v>2023</v>
      </c>
      <c r="B6">
        <v>-33.146207158389188</v>
      </c>
      <c r="C6">
        <v>111.19499999999999</v>
      </c>
      <c r="D6">
        <f t="shared" si="0"/>
        <v>770.88</v>
      </c>
      <c r="E6">
        <f t="shared" si="1"/>
        <v>1</v>
      </c>
    </row>
    <row r="7" spans="1:5" x14ac:dyDescent="0.2">
      <c r="A7">
        <v>2024</v>
      </c>
      <c r="B7">
        <v>14.479160308830609</v>
      </c>
      <c r="C7">
        <v>463.59500000000003</v>
      </c>
      <c r="D7">
        <f t="shared" si="0"/>
        <v>2469.6192000000005</v>
      </c>
      <c r="E7">
        <f t="shared" si="1"/>
        <v>0.9941712612752458</v>
      </c>
    </row>
    <row r="8" spans="1:5" x14ac:dyDescent="0.2">
      <c r="A8">
        <v>2025</v>
      </c>
      <c r="B8">
        <v>-2.7987706261774292</v>
      </c>
      <c r="C8">
        <v>463.59500000000003</v>
      </c>
      <c r="D8">
        <f t="shared" si="0"/>
        <v>0</v>
      </c>
      <c r="E8">
        <v>0</v>
      </c>
    </row>
    <row r="9" spans="1:5" x14ac:dyDescent="0.2">
      <c r="A9">
        <v>2026</v>
      </c>
      <c r="B9">
        <v>7.8742630092929176</v>
      </c>
      <c r="C9">
        <v>463.59500000000003</v>
      </c>
      <c r="D9">
        <f t="shared" si="0"/>
        <v>0</v>
      </c>
      <c r="E9">
        <f t="shared" si="1"/>
        <v>0</v>
      </c>
    </row>
    <row r="10" spans="1:5" x14ac:dyDescent="0.2">
      <c r="A10">
        <v>2027</v>
      </c>
      <c r="B10">
        <v>14.346196365993819</v>
      </c>
      <c r="C10">
        <v>463.59500000000003</v>
      </c>
      <c r="D10">
        <f t="shared" si="0"/>
        <v>0</v>
      </c>
      <c r="E10">
        <f t="shared" si="1"/>
        <v>0</v>
      </c>
    </row>
    <row r="11" spans="1:5" x14ac:dyDescent="0.2">
      <c r="A11">
        <v>2028</v>
      </c>
      <c r="B11">
        <v>17.143365302677012</v>
      </c>
      <c r="C11">
        <v>463.59500000000003</v>
      </c>
      <c r="D11">
        <f t="shared" si="0"/>
        <v>0</v>
      </c>
      <c r="E11">
        <f t="shared" si="1"/>
        <v>0</v>
      </c>
    </row>
    <row r="12" spans="1:5" x14ac:dyDescent="0.2">
      <c r="A12">
        <v>2029</v>
      </c>
      <c r="B12">
        <v>-3.1396371234823159</v>
      </c>
      <c r="C12">
        <v>463.59500000000003</v>
      </c>
      <c r="D12">
        <f t="shared" si="0"/>
        <v>0</v>
      </c>
      <c r="E12">
        <v>0</v>
      </c>
    </row>
    <row r="13" spans="1:5" x14ac:dyDescent="0.2">
      <c r="A13">
        <v>2030</v>
      </c>
      <c r="B13">
        <v>1.947102921684746</v>
      </c>
      <c r="C13">
        <v>463.59500000000003</v>
      </c>
      <c r="D13">
        <f t="shared" si="0"/>
        <v>0</v>
      </c>
      <c r="E13">
        <f t="shared" si="1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2C45C-AA72-DC43-9CDB-D968A19A6BA1}">
  <dimension ref="A1:E13"/>
  <sheetViews>
    <sheetView workbookViewId="0">
      <selection activeCell="D1" sqref="D1:D1048576"/>
    </sheetView>
  </sheetViews>
  <sheetFormatPr baseColWidth="10" defaultRowHeight="16" x14ac:dyDescent="0.2"/>
  <sheetData>
    <row r="1" spans="1:5" x14ac:dyDescent="0.2">
      <c r="B1" t="s">
        <v>0</v>
      </c>
      <c r="C1" t="s">
        <v>1</v>
      </c>
      <c r="D1" t="s">
        <v>2</v>
      </c>
      <c r="E1" s="1" t="s">
        <v>3</v>
      </c>
    </row>
    <row r="2" spans="1:5" x14ac:dyDescent="0.2">
      <c r="A2">
        <v>2019</v>
      </c>
      <c r="B2">
        <v>59.609131666639769</v>
      </c>
      <c r="C2">
        <v>0</v>
      </c>
      <c r="E2" s="1"/>
    </row>
    <row r="3" spans="1:5" x14ac:dyDescent="0.2">
      <c r="A3">
        <v>2020</v>
      </c>
      <c r="B3">
        <v>166.84408255450759</v>
      </c>
      <c r="C3">
        <v>3.278</v>
      </c>
      <c r="D3">
        <f>(C3-C2)*8760*0.8/1000</f>
        <v>22.972224000000001</v>
      </c>
      <c r="E3" s="1">
        <f>IF(MAX(B3,0)+MAX(D3,0)&gt;0, MAX(D3,0)/(MAX(B3,0)+MAX(D3,0)), "")</f>
        <v>0.1210234484959979</v>
      </c>
    </row>
    <row r="4" spans="1:5" x14ac:dyDescent="0.2">
      <c r="A4">
        <v>2021</v>
      </c>
      <c r="B4">
        <v>125.2529323961699</v>
      </c>
      <c r="C4">
        <v>12.617000000000001</v>
      </c>
      <c r="D4">
        <f t="shared" ref="D4:D13" si="0">(C4-C3)*8760*0.8/1000</f>
        <v>65.447711999999996</v>
      </c>
      <c r="E4" s="1">
        <f t="shared" ref="E4:E8" si="1">IF(MAX(B4,0)+MAX(D4,0)&gt;0, MAX(D4,0)/(MAX(B4,0)+MAX(D4,0)), "")</f>
        <v>0.34319607155619281</v>
      </c>
    </row>
    <row r="5" spans="1:5" x14ac:dyDescent="0.2">
      <c r="A5">
        <v>2022</v>
      </c>
      <c r="B5">
        <v>-73.425460030311115</v>
      </c>
      <c r="C5">
        <v>32.616999999999997</v>
      </c>
      <c r="D5">
        <f t="shared" si="0"/>
        <v>140.15999999999997</v>
      </c>
      <c r="E5" s="1">
        <f t="shared" si="1"/>
        <v>1</v>
      </c>
    </row>
    <row r="6" spans="1:5" x14ac:dyDescent="0.2">
      <c r="A6">
        <v>2023</v>
      </c>
      <c r="B6">
        <v>-7.8166611522310632</v>
      </c>
      <c r="C6">
        <v>42.718000000000004</v>
      </c>
      <c r="D6">
        <f t="shared" si="0"/>
        <v>70.787808000000055</v>
      </c>
      <c r="E6" s="1">
        <f t="shared" si="1"/>
        <v>1</v>
      </c>
    </row>
    <row r="7" spans="1:5" x14ac:dyDescent="0.2">
      <c r="A7">
        <v>2024</v>
      </c>
      <c r="B7">
        <v>9.8587336814944138</v>
      </c>
      <c r="C7">
        <v>42.718000000000004</v>
      </c>
      <c r="D7">
        <f t="shared" si="0"/>
        <v>0</v>
      </c>
      <c r="E7" s="1">
        <f t="shared" si="1"/>
        <v>0</v>
      </c>
    </row>
    <row r="8" spans="1:5" x14ac:dyDescent="0.2">
      <c r="A8">
        <v>2025</v>
      </c>
      <c r="B8">
        <v>26.348936945329111</v>
      </c>
      <c r="C8">
        <v>42.718000000000004</v>
      </c>
      <c r="D8">
        <f t="shared" si="0"/>
        <v>0</v>
      </c>
      <c r="E8" s="1">
        <f t="shared" si="1"/>
        <v>0</v>
      </c>
    </row>
    <row r="9" spans="1:5" x14ac:dyDescent="0.2">
      <c r="A9">
        <v>2026</v>
      </c>
      <c r="B9">
        <v>20.30811693952182</v>
      </c>
      <c r="C9">
        <v>42.718000000000004</v>
      </c>
      <c r="D9">
        <f t="shared" si="0"/>
        <v>0</v>
      </c>
      <c r="E9" s="1"/>
    </row>
    <row r="10" spans="1:5" x14ac:dyDescent="0.2">
      <c r="A10">
        <v>2027</v>
      </c>
      <c r="B10">
        <v>16.82375545363811</v>
      </c>
      <c r="C10">
        <v>42.718000000000004</v>
      </c>
      <c r="D10">
        <f t="shared" si="0"/>
        <v>0</v>
      </c>
      <c r="E10" s="1"/>
    </row>
    <row r="11" spans="1:5" x14ac:dyDescent="0.2">
      <c r="A11">
        <v>2028</v>
      </c>
      <c r="B11">
        <v>22.053783649854271</v>
      </c>
      <c r="C11">
        <v>1042.7180000000001</v>
      </c>
      <c r="D11">
        <f t="shared" si="0"/>
        <v>7008.0000000000018</v>
      </c>
      <c r="E11" s="1"/>
    </row>
    <row r="12" spans="1:5" x14ac:dyDescent="0.2">
      <c r="A12">
        <v>2029</v>
      </c>
      <c r="B12">
        <v>-6.7379038680319354</v>
      </c>
      <c r="C12">
        <v>1042.7180000000001</v>
      </c>
      <c r="D12">
        <f t="shared" si="0"/>
        <v>0</v>
      </c>
      <c r="E12" s="1"/>
    </row>
    <row r="13" spans="1:5" x14ac:dyDescent="0.2">
      <c r="A13">
        <v>2030</v>
      </c>
      <c r="B13">
        <v>1.9121678301316929</v>
      </c>
      <c r="C13">
        <v>1042.7180000000001</v>
      </c>
      <c r="D13">
        <f t="shared" si="0"/>
        <v>0</v>
      </c>
      <c r="E13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3CFE-136F-AC4C-8A38-8E0A9F2BDF06}">
  <dimension ref="A1:E13"/>
  <sheetViews>
    <sheetView workbookViewId="0">
      <selection activeCell="D1" sqref="D1:D1048576"/>
    </sheetView>
  </sheetViews>
  <sheetFormatPr baseColWidth="10" defaultRowHeight="16" x14ac:dyDescent="0.2"/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2019</v>
      </c>
      <c r="B2">
        <v>135.68042525214699</v>
      </c>
      <c r="C2">
        <v>0</v>
      </c>
    </row>
    <row r="3" spans="1:5" x14ac:dyDescent="0.2">
      <c r="A3">
        <v>2020</v>
      </c>
      <c r="B3">
        <v>208.84838362591839</v>
      </c>
      <c r="C3">
        <v>0</v>
      </c>
      <c r="D3">
        <f>(C3-C2)*8760*0.8/1000</f>
        <v>0</v>
      </c>
      <c r="E3">
        <f>IF(MAX(B3,0)+MAX(D3,0)&gt;0, MAX(D3,0)/(MAX(B3,0)+MAX(D3,0)), "")</f>
        <v>0</v>
      </c>
    </row>
    <row r="4" spans="1:5" x14ac:dyDescent="0.2">
      <c r="A4">
        <v>2021</v>
      </c>
      <c r="B4">
        <v>70.34520794708078</v>
      </c>
      <c r="C4">
        <v>0</v>
      </c>
      <c r="D4">
        <f t="shared" ref="D4:D13" si="0">(C4-C3)*8760*0.8/1000</f>
        <v>0</v>
      </c>
      <c r="E4">
        <f t="shared" ref="E4:E13" si="1">IF(MAX(B4,0)+MAX(D4,0)&gt;0, MAX(D4,0)/(MAX(B4,0)+MAX(D4,0)), "")</f>
        <v>0</v>
      </c>
    </row>
    <row r="5" spans="1:5" x14ac:dyDescent="0.2">
      <c r="A5">
        <v>2022</v>
      </c>
      <c r="B5">
        <v>-122.4434551750855</v>
      </c>
      <c r="C5">
        <v>0.94599999999999995</v>
      </c>
      <c r="D5">
        <f t="shared" si="0"/>
        <v>6.629567999999999</v>
      </c>
      <c r="E5">
        <f t="shared" si="1"/>
        <v>1</v>
      </c>
    </row>
    <row r="6" spans="1:5" x14ac:dyDescent="0.2">
      <c r="A6">
        <v>2023</v>
      </c>
      <c r="B6">
        <v>20.965554733118552</v>
      </c>
      <c r="C6">
        <v>2.371</v>
      </c>
      <c r="D6">
        <f t="shared" si="0"/>
        <v>9.9864000000000015</v>
      </c>
      <c r="E6">
        <f t="shared" si="1"/>
        <v>0.32264198129349697</v>
      </c>
    </row>
    <row r="7" spans="1:5" x14ac:dyDescent="0.2">
      <c r="A7">
        <v>2024</v>
      </c>
      <c r="B7">
        <v>239.26911627707889</v>
      </c>
      <c r="C7">
        <v>2.371</v>
      </c>
      <c r="D7">
        <f t="shared" si="0"/>
        <v>0</v>
      </c>
      <c r="E7">
        <f t="shared" si="1"/>
        <v>0</v>
      </c>
    </row>
    <row r="8" spans="1:5" x14ac:dyDescent="0.2">
      <c r="A8">
        <v>2025</v>
      </c>
      <c r="B8">
        <v>157.0038489140625</v>
      </c>
      <c r="C8">
        <v>2.371</v>
      </c>
      <c r="D8">
        <f t="shared" si="0"/>
        <v>0</v>
      </c>
      <c r="E8">
        <f t="shared" si="1"/>
        <v>0</v>
      </c>
    </row>
    <row r="9" spans="1:5" x14ac:dyDescent="0.2">
      <c r="A9">
        <v>2026</v>
      </c>
      <c r="B9">
        <v>170.9381174473601</v>
      </c>
      <c r="C9">
        <v>2.371</v>
      </c>
      <c r="D9">
        <f t="shared" si="0"/>
        <v>0</v>
      </c>
      <c r="E9">
        <f>IF(MAX(B9,0)+MAX(D9,0)&gt;0, MAX(D9,0)/(MAX(B9,0)+MAX(D9,0)), "")</f>
        <v>0</v>
      </c>
    </row>
    <row r="10" spans="1:5" x14ac:dyDescent="0.2">
      <c r="A10">
        <v>2027</v>
      </c>
      <c r="B10">
        <v>182.76518211719849</v>
      </c>
      <c r="C10">
        <v>2.371</v>
      </c>
      <c r="D10">
        <f t="shared" si="0"/>
        <v>0</v>
      </c>
      <c r="E10">
        <f t="shared" si="1"/>
        <v>0</v>
      </c>
    </row>
    <row r="11" spans="1:5" x14ac:dyDescent="0.2">
      <c r="A11">
        <v>2028</v>
      </c>
      <c r="B11">
        <v>191.32825108859291</v>
      </c>
      <c r="C11">
        <v>2.371</v>
      </c>
      <c r="D11">
        <f t="shared" si="0"/>
        <v>0</v>
      </c>
      <c r="E11">
        <f t="shared" si="1"/>
        <v>0</v>
      </c>
    </row>
    <row r="12" spans="1:5" x14ac:dyDescent="0.2">
      <c r="A12">
        <v>2029</v>
      </c>
      <c r="B12">
        <v>140.93201917997251</v>
      </c>
      <c r="C12">
        <v>2.371</v>
      </c>
      <c r="D12">
        <f t="shared" si="0"/>
        <v>0</v>
      </c>
      <c r="E12">
        <f t="shared" si="1"/>
        <v>0</v>
      </c>
    </row>
    <row r="13" spans="1:5" x14ac:dyDescent="0.2">
      <c r="A13">
        <v>2030</v>
      </c>
      <c r="B13">
        <v>158.66455799365761</v>
      </c>
      <c r="C13">
        <v>2.371</v>
      </c>
      <c r="D13">
        <f t="shared" si="0"/>
        <v>0</v>
      </c>
      <c r="E13">
        <f t="shared" si="1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567F5-3722-3C4E-A01F-1E8FD81558CF}">
  <dimension ref="A1:E13"/>
  <sheetViews>
    <sheetView workbookViewId="0">
      <selection activeCell="D1" sqref="D1:D1048576"/>
    </sheetView>
  </sheetViews>
  <sheetFormatPr baseColWidth="10" defaultRowHeight="16" x14ac:dyDescent="0.2"/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2019</v>
      </c>
      <c r="B2">
        <v>71.604568116574228</v>
      </c>
      <c r="C2">
        <v>0</v>
      </c>
    </row>
    <row r="3" spans="1:5" x14ac:dyDescent="0.2">
      <c r="A3">
        <v>2020</v>
      </c>
      <c r="B3">
        <v>172.0029610055735</v>
      </c>
      <c r="C3">
        <v>0</v>
      </c>
      <c r="D3">
        <f>(C3-C2)*8760*0.8/1000</f>
        <v>0</v>
      </c>
      <c r="E3">
        <f>IF(MAX(B3,0)+MAX(D3,0)&gt;0, MAX(D3,0)/(MAX(B3,0)+MAX(D3,0)), "")</f>
        <v>0</v>
      </c>
    </row>
    <row r="4" spans="1:5" x14ac:dyDescent="0.2">
      <c r="A4">
        <v>2021</v>
      </c>
      <c r="B4">
        <v>52.008411550526937</v>
      </c>
      <c r="C4">
        <v>0</v>
      </c>
      <c r="D4">
        <f t="shared" ref="D4:D13" si="0">(C4-C3)*8760*0.8/1000</f>
        <v>0</v>
      </c>
      <c r="E4">
        <f>IF(MAX(B4,0)+MAX(D4,0)&gt;0, MAX(D4,0)/(MAX(B4,0)+MAX(D4,0)), "")</f>
        <v>0</v>
      </c>
    </row>
    <row r="5" spans="1:5" x14ac:dyDescent="0.2">
      <c r="A5">
        <v>2022</v>
      </c>
      <c r="B5">
        <v>-81.420759824161905</v>
      </c>
      <c r="C5">
        <v>0</v>
      </c>
      <c r="D5">
        <f t="shared" si="0"/>
        <v>0</v>
      </c>
      <c r="E5">
        <v>0</v>
      </c>
    </row>
    <row r="6" spans="1:5" x14ac:dyDescent="0.2">
      <c r="A6">
        <v>2023</v>
      </c>
      <c r="B6">
        <v>36.565250542079411</v>
      </c>
      <c r="C6">
        <v>45</v>
      </c>
      <c r="D6">
        <f t="shared" si="0"/>
        <v>315.36</v>
      </c>
      <c r="E6">
        <f>IF(MAX(B6,0)+MAX(D6,0)&gt;0, MAX(D6,0)/(MAX(B6,0)+MAX(D6,0)), "")</f>
        <v>0.89609938336121941</v>
      </c>
    </row>
    <row r="7" spans="1:5" x14ac:dyDescent="0.2">
      <c r="A7">
        <v>2024</v>
      </c>
      <c r="B7">
        <v>92.984264440197876</v>
      </c>
      <c r="C7">
        <v>65</v>
      </c>
      <c r="D7">
        <f t="shared" si="0"/>
        <v>140.16</v>
      </c>
      <c r="E7">
        <f>IF(MAX(B7,0)+MAX(D7,0)&gt;0, MAX(D7,0)/(MAX(B7,0)+MAX(D7,0)), "")</f>
        <v>0.60117284178762809</v>
      </c>
    </row>
    <row r="8" spans="1:5" x14ac:dyDescent="0.2">
      <c r="A8">
        <v>2025</v>
      </c>
      <c r="B8">
        <v>36.629215914331333</v>
      </c>
      <c r="C8">
        <v>74</v>
      </c>
      <c r="D8">
        <f t="shared" si="0"/>
        <v>63.072000000000003</v>
      </c>
      <c r="E8">
        <v>0</v>
      </c>
    </row>
    <row r="9" spans="1:5" x14ac:dyDescent="0.2">
      <c r="A9">
        <v>2026</v>
      </c>
      <c r="B9">
        <v>42.76606768849706</v>
      </c>
      <c r="C9">
        <v>74</v>
      </c>
      <c r="D9">
        <f t="shared" si="0"/>
        <v>0</v>
      </c>
      <c r="E9">
        <v>0</v>
      </c>
    </row>
    <row r="10" spans="1:5" x14ac:dyDescent="0.2">
      <c r="A10">
        <v>2027</v>
      </c>
      <c r="B10">
        <v>47.803726802769233</v>
      </c>
      <c r="C10">
        <v>74</v>
      </c>
      <c r="D10">
        <f t="shared" si="0"/>
        <v>0</v>
      </c>
      <c r="E10">
        <v>0</v>
      </c>
    </row>
    <row r="11" spans="1:5" x14ac:dyDescent="0.2">
      <c r="A11">
        <v>2028</v>
      </c>
      <c r="B11">
        <v>52.662926860013613</v>
      </c>
      <c r="C11">
        <v>74</v>
      </c>
      <c r="D11">
        <f t="shared" si="0"/>
        <v>0</v>
      </c>
      <c r="E11">
        <v>0</v>
      </c>
    </row>
    <row r="12" spans="1:5" x14ac:dyDescent="0.2">
      <c r="A12">
        <v>2029</v>
      </c>
      <c r="B12">
        <v>20.333226965891299</v>
      </c>
      <c r="C12">
        <v>74</v>
      </c>
      <c r="D12">
        <f t="shared" si="0"/>
        <v>0</v>
      </c>
      <c r="E12">
        <v>0</v>
      </c>
    </row>
    <row r="13" spans="1:5" x14ac:dyDescent="0.2">
      <c r="A13">
        <v>2030</v>
      </c>
      <c r="B13">
        <v>29.104973334482569</v>
      </c>
      <c r="C13">
        <v>74</v>
      </c>
      <c r="D13">
        <f t="shared" si="0"/>
        <v>0</v>
      </c>
      <c r="E1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E131D-09D6-B240-922F-0452EAD171B9}">
  <dimension ref="A1:E13"/>
  <sheetViews>
    <sheetView workbookViewId="0">
      <selection activeCell="D1" sqref="D1:D1048576"/>
    </sheetView>
  </sheetViews>
  <sheetFormatPr baseColWidth="10" defaultRowHeight="16" x14ac:dyDescent="0.2"/>
  <sheetData>
    <row r="1" spans="1:5" x14ac:dyDescent="0.2">
      <c r="B1" t="s">
        <v>0</v>
      </c>
      <c r="C1" t="s">
        <v>1</v>
      </c>
      <c r="D1" t="s">
        <v>2</v>
      </c>
      <c r="E1" s="1" t="s">
        <v>3</v>
      </c>
    </row>
    <row r="2" spans="1:5" x14ac:dyDescent="0.2">
      <c r="A2">
        <v>2019</v>
      </c>
      <c r="B2">
        <v>146.97377126997711</v>
      </c>
      <c r="C2">
        <v>0</v>
      </c>
      <c r="E2" s="1"/>
    </row>
    <row r="3" spans="1:5" x14ac:dyDescent="0.2">
      <c r="A3">
        <v>2020</v>
      </c>
      <c r="B3">
        <v>372.13747551234519</v>
      </c>
      <c r="C3">
        <v>0</v>
      </c>
      <c r="D3">
        <f>(C3-C2)*8760*0.8/1000</f>
        <v>0</v>
      </c>
      <c r="E3" s="1">
        <f>IF(MAX(B3,0)+MAX(D3,0)&gt;0, MAX(D3,0)/(MAX(B3,0)+MAX(D3,0)), "")</f>
        <v>0</v>
      </c>
    </row>
    <row r="4" spans="1:5" x14ac:dyDescent="0.2">
      <c r="A4">
        <v>2021</v>
      </c>
      <c r="B4">
        <v>148.19913483850181</v>
      </c>
      <c r="C4">
        <v>177.18299999999999</v>
      </c>
      <c r="D4">
        <f t="shared" ref="D4:D13" si="0">(C4-C3)*8760*0.8/1000</f>
        <v>1241.6984639999998</v>
      </c>
      <c r="E4" s="1">
        <f t="shared" ref="E4:E13" si="1">IF(MAX(B4,0)+MAX(D4,0)&gt;0, MAX(D4,0)/(MAX(B4,0)+MAX(D4,0)), "")</f>
        <v>0.89337406226016391</v>
      </c>
    </row>
    <row r="5" spans="1:5" x14ac:dyDescent="0.2">
      <c r="A5">
        <v>2022</v>
      </c>
      <c r="B5">
        <v>-148.5668916766117</v>
      </c>
      <c r="C5">
        <v>177.18299999999999</v>
      </c>
      <c r="D5">
        <f t="shared" si="0"/>
        <v>0</v>
      </c>
      <c r="E5" s="1">
        <v>0</v>
      </c>
    </row>
    <row r="6" spans="1:5" x14ac:dyDescent="0.2">
      <c r="A6">
        <v>2023</v>
      </c>
      <c r="B6">
        <v>67.275165447024847</v>
      </c>
      <c r="C6">
        <v>191.333</v>
      </c>
      <c r="D6">
        <f t="shared" si="0"/>
        <v>99.163200000000046</v>
      </c>
      <c r="E6" s="1">
        <f t="shared" si="1"/>
        <v>0.59579532479584685</v>
      </c>
    </row>
    <row r="7" spans="1:5" x14ac:dyDescent="0.2">
      <c r="A7">
        <v>2024</v>
      </c>
      <c r="B7">
        <v>52.882412840102923</v>
      </c>
      <c r="C7">
        <v>197.333</v>
      </c>
      <c r="D7">
        <f t="shared" si="0"/>
        <v>42.048000000000002</v>
      </c>
      <c r="E7" s="1">
        <f t="shared" si="1"/>
        <v>0.44293497459896242</v>
      </c>
    </row>
    <row r="8" spans="1:5" x14ac:dyDescent="0.2">
      <c r="A8">
        <v>2025</v>
      </c>
      <c r="B8">
        <v>51.431840262481273</v>
      </c>
      <c r="C8">
        <v>280.03300000000002</v>
      </c>
      <c r="D8">
        <f t="shared" si="0"/>
        <v>579.56160000000011</v>
      </c>
      <c r="E8" s="1">
        <f t="shared" si="1"/>
        <v>0.91849068947359169</v>
      </c>
    </row>
    <row r="9" spans="1:5" x14ac:dyDescent="0.2">
      <c r="A9">
        <v>2026</v>
      </c>
      <c r="B9">
        <v>71.087396906863432</v>
      </c>
      <c r="C9">
        <v>280.03300000000002</v>
      </c>
      <c r="D9">
        <f t="shared" si="0"/>
        <v>0</v>
      </c>
      <c r="E9" s="1">
        <f t="shared" si="1"/>
        <v>0</v>
      </c>
    </row>
    <row r="10" spans="1:5" x14ac:dyDescent="0.2">
      <c r="A10">
        <v>2027</v>
      </c>
      <c r="B10">
        <v>80.469506172545152</v>
      </c>
      <c r="C10">
        <v>280.03300000000002</v>
      </c>
      <c r="D10">
        <f t="shared" si="0"/>
        <v>0</v>
      </c>
      <c r="E10" s="1">
        <f t="shared" si="1"/>
        <v>0</v>
      </c>
    </row>
    <row r="11" spans="1:5" x14ac:dyDescent="0.2">
      <c r="A11">
        <v>2028</v>
      </c>
      <c r="B11">
        <v>87.850944456617071</v>
      </c>
      <c r="C11">
        <v>280.03300000000002</v>
      </c>
      <c r="D11">
        <f t="shared" si="0"/>
        <v>0</v>
      </c>
      <c r="E11" s="1">
        <f t="shared" si="1"/>
        <v>0</v>
      </c>
    </row>
    <row r="12" spans="1:5" x14ac:dyDescent="0.2">
      <c r="A12">
        <v>2029</v>
      </c>
      <c r="B12">
        <v>23.21460552390818</v>
      </c>
      <c r="C12">
        <v>280.03300000000002</v>
      </c>
      <c r="D12">
        <f t="shared" si="0"/>
        <v>0</v>
      </c>
      <c r="E12" s="1">
        <f t="shared" si="1"/>
        <v>0</v>
      </c>
    </row>
    <row r="13" spans="1:5" x14ac:dyDescent="0.2">
      <c r="A13">
        <v>2030</v>
      </c>
      <c r="B13">
        <v>39.508789425202849</v>
      </c>
      <c r="C13">
        <v>280.03300000000002</v>
      </c>
      <c r="D13">
        <f t="shared" si="0"/>
        <v>0</v>
      </c>
      <c r="E13" s="1">
        <f t="shared" si="1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3E361-DB65-854A-B958-D8A6A3801132}">
  <dimension ref="A1:E13"/>
  <sheetViews>
    <sheetView workbookViewId="0">
      <selection activeCell="D1" sqref="D1:D1048576"/>
    </sheetView>
  </sheetViews>
  <sheetFormatPr baseColWidth="10" defaultRowHeight="16" x14ac:dyDescent="0.2"/>
  <sheetData>
    <row r="1" spans="1:5" x14ac:dyDescent="0.2">
      <c r="B1" t="s">
        <v>0</v>
      </c>
      <c r="C1" t="s">
        <v>1</v>
      </c>
      <c r="D1" t="s">
        <v>2</v>
      </c>
      <c r="E1" s="1" t="s">
        <v>3</v>
      </c>
    </row>
    <row r="2" spans="1:5" x14ac:dyDescent="0.2">
      <c r="A2">
        <v>2019</v>
      </c>
      <c r="B2">
        <v>-5.5119495669923708</v>
      </c>
      <c r="C2">
        <v>0</v>
      </c>
      <c r="E2" s="1"/>
    </row>
    <row r="3" spans="1:5" x14ac:dyDescent="0.2">
      <c r="A3">
        <v>2020</v>
      </c>
      <c r="B3">
        <v>151.74539930170701</v>
      </c>
      <c r="C3">
        <v>0</v>
      </c>
      <c r="D3">
        <f>(C3-C2)*8760*0.8/1000</f>
        <v>0</v>
      </c>
      <c r="E3" s="1">
        <f>IF(MAX(B3,0)+MAX(D3,0)&gt;0, MAX(D3,0)/(MAX(B3,0)+MAX(D3,0)), "")</f>
        <v>0</v>
      </c>
    </row>
    <row r="4" spans="1:5" x14ac:dyDescent="0.2">
      <c r="A4">
        <v>2021</v>
      </c>
      <c r="B4">
        <v>30.70050094624003</v>
      </c>
      <c r="C4">
        <v>198</v>
      </c>
      <c r="D4">
        <f t="shared" ref="D4:D13" si="0">(C4-C3)*8760*0.8/1000</f>
        <v>1387.5840000000001</v>
      </c>
      <c r="E4" s="1">
        <f t="shared" ref="E4:E7" si="1">IF(MAX(B4,0)+MAX(D4,0)&gt;0, MAX(D4,0)/(MAX(B4,0)+MAX(D4,0)), "")</f>
        <v>0.97835377815540003</v>
      </c>
    </row>
    <row r="5" spans="1:5" x14ac:dyDescent="0.2">
      <c r="A5">
        <v>2022</v>
      </c>
      <c r="B5">
        <v>-119.98630327147571</v>
      </c>
      <c r="C5">
        <v>198</v>
      </c>
      <c r="D5">
        <f t="shared" si="0"/>
        <v>0</v>
      </c>
      <c r="E5" s="1">
        <v>0</v>
      </c>
    </row>
    <row r="6" spans="1:5" x14ac:dyDescent="0.2">
      <c r="A6">
        <v>2023</v>
      </c>
      <c r="B6">
        <v>1.839298292374224</v>
      </c>
      <c r="C6">
        <v>198</v>
      </c>
      <c r="D6">
        <f t="shared" si="0"/>
        <v>0</v>
      </c>
      <c r="E6" s="1">
        <f t="shared" si="1"/>
        <v>0</v>
      </c>
    </row>
    <row r="7" spans="1:5" x14ac:dyDescent="0.2">
      <c r="A7">
        <v>2024</v>
      </c>
      <c r="B7">
        <v>65.442970344203786</v>
      </c>
      <c r="C7">
        <v>198</v>
      </c>
      <c r="D7">
        <f t="shared" si="0"/>
        <v>0</v>
      </c>
      <c r="E7" s="1">
        <f t="shared" si="1"/>
        <v>0</v>
      </c>
    </row>
    <row r="8" spans="1:5" x14ac:dyDescent="0.2">
      <c r="A8">
        <v>2025</v>
      </c>
      <c r="B8">
        <v>-3.310434922074819</v>
      </c>
      <c r="C8">
        <v>198</v>
      </c>
      <c r="D8">
        <f t="shared" si="0"/>
        <v>0</v>
      </c>
      <c r="E8" s="1">
        <v>0</v>
      </c>
    </row>
    <row r="9" spans="1:5" x14ac:dyDescent="0.2">
      <c r="A9">
        <v>2026</v>
      </c>
      <c r="B9">
        <v>5.8210370002570926</v>
      </c>
      <c r="C9">
        <v>198</v>
      </c>
      <c r="D9">
        <f t="shared" si="0"/>
        <v>0</v>
      </c>
      <c r="E9" s="1">
        <v>0</v>
      </c>
    </row>
    <row r="10" spans="1:5" x14ac:dyDescent="0.2">
      <c r="A10">
        <v>2027</v>
      </c>
      <c r="B10">
        <v>12.029411455974699</v>
      </c>
      <c r="C10">
        <v>198</v>
      </c>
      <c r="D10">
        <f t="shared" si="0"/>
        <v>0</v>
      </c>
      <c r="E10" s="1">
        <v>0</v>
      </c>
    </row>
    <row r="11" spans="1:5" x14ac:dyDescent="0.2">
      <c r="A11">
        <v>2028</v>
      </c>
      <c r="B11">
        <v>15.852052344655929</v>
      </c>
      <c r="C11">
        <v>198</v>
      </c>
      <c r="D11">
        <f t="shared" si="0"/>
        <v>0</v>
      </c>
      <c r="E11" s="1">
        <v>0</v>
      </c>
    </row>
    <row r="12" spans="1:5" x14ac:dyDescent="0.2">
      <c r="A12">
        <v>2029</v>
      </c>
      <c r="B12">
        <v>-15.788324069425469</v>
      </c>
      <c r="C12">
        <v>198</v>
      </c>
      <c r="D12">
        <f t="shared" si="0"/>
        <v>0</v>
      </c>
      <c r="E12" s="1">
        <v>0</v>
      </c>
    </row>
    <row r="13" spans="1:5" x14ac:dyDescent="0.2">
      <c r="A13">
        <v>2030</v>
      </c>
      <c r="B13">
        <v>-7.296496661090714</v>
      </c>
      <c r="C13">
        <v>198</v>
      </c>
      <c r="D13">
        <f t="shared" si="0"/>
        <v>0</v>
      </c>
      <c r="E13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0E871-7979-2B43-B7B8-4137B9831735}">
  <dimension ref="A1:E13"/>
  <sheetViews>
    <sheetView workbookViewId="0">
      <selection activeCell="D1" sqref="D1:D1048576"/>
    </sheetView>
  </sheetViews>
  <sheetFormatPr baseColWidth="10" defaultRowHeight="16" x14ac:dyDescent="0.2"/>
  <sheetData>
    <row r="1" spans="1:5" x14ac:dyDescent="0.2">
      <c r="B1" t="s">
        <v>0</v>
      </c>
      <c r="C1" t="s">
        <v>1</v>
      </c>
      <c r="D1" t="s">
        <v>2</v>
      </c>
      <c r="E1" s="1" t="s">
        <v>3</v>
      </c>
    </row>
    <row r="2" spans="1:5" x14ac:dyDescent="0.2">
      <c r="A2">
        <v>2019</v>
      </c>
      <c r="B2">
        <v>160.7493349718807</v>
      </c>
      <c r="C2">
        <v>0</v>
      </c>
      <c r="E2" s="1"/>
    </row>
    <row r="3" spans="1:5" x14ac:dyDescent="0.2">
      <c r="A3">
        <v>2020</v>
      </c>
      <c r="B3">
        <v>273.12151953333341</v>
      </c>
      <c r="C3">
        <v>0</v>
      </c>
      <c r="D3">
        <f>(C3-C2)*8760*0.8/1000</f>
        <v>0</v>
      </c>
      <c r="E3" s="1">
        <f>IF(MAX(B3,0)+MAX(D3,0)&gt;0, MAX(D3,0)/(MAX(B3,0)+MAX(D3,0)), "")</f>
        <v>0</v>
      </c>
    </row>
    <row r="4" spans="1:5" x14ac:dyDescent="0.2">
      <c r="A4">
        <v>2021</v>
      </c>
      <c r="B4">
        <v>186.84396815816041</v>
      </c>
      <c r="C4">
        <v>0</v>
      </c>
      <c r="D4">
        <f t="shared" ref="D4:D13" si="0">(C4-C3)*8760*0.8/1000</f>
        <v>0</v>
      </c>
      <c r="E4" s="1">
        <f t="shared" ref="E4:E13" si="1">IF(MAX(B4,0)+MAX(D4,0)&gt;0, MAX(D4,0)/(MAX(B4,0)+MAX(D4,0)), "")</f>
        <v>0</v>
      </c>
    </row>
    <row r="5" spans="1:5" x14ac:dyDescent="0.2">
      <c r="A5">
        <v>2022</v>
      </c>
      <c r="B5">
        <v>-41.401038487587357</v>
      </c>
      <c r="C5">
        <v>0</v>
      </c>
      <c r="D5">
        <f t="shared" si="0"/>
        <v>0</v>
      </c>
      <c r="E5" s="1">
        <v>0</v>
      </c>
    </row>
    <row r="6" spans="1:5" x14ac:dyDescent="0.2">
      <c r="A6">
        <v>2023</v>
      </c>
      <c r="B6">
        <v>100.53491186951941</v>
      </c>
      <c r="C6">
        <v>0</v>
      </c>
      <c r="D6">
        <f t="shared" si="0"/>
        <v>0</v>
      </c>
      <c r="E6" s="1">
        <f t="shared" si="1"/>
        <v>0</v>
      </c>
    </row>
    <row r="7" spans="1:5" x14ac:dyDescent="0.2">
      <c r="A7">
        <v>2024</v>
      </c>
      <c r="B7">
        <v>132.5414170888653</v>
      </c>
      <c r="C7">
        <v>0.2</v>
      </c>
      <c r="D7">
        <f t="shared" si="0"/>
        <v>1.4016000000000002</v>
      </c>
      <c r="E7" s="1">
        <f t="shared" si="1"/>
        <v>1.0464151326904187E-2</v>
      </c>
    </row>
    <row r="8" spans="1:5" x14ac:dyDescent="0.2">
      <c r="A8">
        <v>2025</v>
      </c>
      <c r="B8">
        <v>72.988884703105214</v>
      </c>
      <c r="C8">
        <v>0.2</v>
      </c>
      <c r="D8">
        <f t="shared" si="0"/>
        <v>0</v>
      </c>
      <c r="E8" s="1">
        <f t="shared" si="1"/>
        <v>0</v>
      </c>
    </row>
    <row r="9" spans="1:5" x14ac:dyDescent="0.2">
      <c r="A9">
        <v>2026</v>
      </c>
      <c r="B9">
        <v>81.969002331932643</v>
      </c>
      <c r="C9">
        <v>0.2</v>
      </c>
      <c r="D9">
        <f t="shared" si="0"/>
        <v>0</v>
      </c>
      <c r="E9" s="1">
        <f t="shared" si="1"/>
        <v>0</v>
      </c>
    </row>
    <row r="10" spans="1:5" x14ac:dyDescent="0.2">
      <c r="A10">
        <v>2027</v>
      </c>
      <c r="B10">
        <v>89.83140360915786</v>
      </c>
      <c r="C10">
        <v>0.2</v>
      </c>
      <c r="D10">
        <f t="shared" si="0"/>
        <v>0</v>
      </c>
      <c r="E10" s="1">
        <f t="shared" si="1"/>
        <v>0</v>
      </c>
    </row>
    <row r="11" spans="1:5" x14ac:dyDescent="0.2">
      <c r="A11">
        <v>2028</v>
      </c>
      <c r="B11">
        <v>97.616134365842299</v>
      </c>
      <c r="C11">
        <v>0.2</v>
      </c>
      <c r="D11">
        <f t="shared" si="0"/>
        <v>0</v>
      </c>
      <c r="E11" s="1">
        <f t="shared" si="1"/>
        <v>0</v>
      </c>
    </row>
    <row r="12" spans="1:5" x14ac:dyDescent="0.2">
      <c r="A12">
        <v>2029</v>
      </c>
      <c r="B12">
        <v>45.402694165935827</v>
      </c>
      <c r="C12">
        <v>0.2</v>
      </c>
      <c r="D12">
        <f t="shared" si="0"/>
        <v>0</v>
      </c>
      <c r="E12" s="1">
        <f t="shared" si="1"/>
        <v>0</v>
      </c>
    </row>
    <row r="13" spans="1:5" x14ac:dyDescent="0.2">
      <c r="A13">
        <v>2030</v>
      </c>
      <c r="B13">
        <v>62.022426203848227</v>
      </c>
      <c r="C13">
        <v>0.2</v>
      </c>
      <c r="D13">
        <f t="shared" si="0"/>
        <v>0</v>
      </c>
      <c r="E13" s="1">
        <f t="shared" si="1"/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5A809-8695-E84D-BDE0-F114DA55C885}">
  <dimension ref="A1:E13"/>
  <sheetViews>
    <sheetView workbookViewId="0">
      <selection activeCell="D1" sqref="D1:D1048576"/>
    </sheetView>
  </sheetViews>
  <sheetFormatPr baseColWidth="10" defaultRowHeight="16" x14ac:dyDescent="0.2"/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2019</v>
      </c>
      <c r="B2">
        <v>181.28636801306311</v>
      </c>
      <c r="C2">
        <v>0</v>
      </c>
    </row>
    <row r="3" spans="1:5" x14ac:dyDescent="0.2">
      <c r="A3">
        <v>2020</v>
      </c>
      <c r="B3">
        <v>377.85568767895887</v>
      </c>
      <c r="C3">
        <v>0</v>
      </c>
      <c r="D3">
        <f>(C3-C2)*8760*0.8/1000</f>
        <v>0</v>
      </c>
    </row>
    <row r="4" spans="1:5" x14ac:dyDescent="0.2">
      <c r="A4">
        <v>2021</v>
      </c>
      <c r="B4">
        <v>123.3478803870039</v>
      </c>
      <c r="C4">
        <v>0</v>
      </c>
      <c r="D4">
        <f t="shared" ref="D4:D13" si="0">(C4-C3)*8760*0.8/1000</f>
        <v>0</v>
      </c>
      <c r="E4">
        <f t="shared" ref="E4:E13" si="1">IF(MAX(B4,0)+MAX(D4,0)&gt;0, MAX(D4,0)/(MAX(B4,0)+MAX(D4,0)), "")</f>
        <v>0</v>
      </c>
    </row>
    <row r="5" spans="1:5" x14ac:dyDescent="0.2">
      <c r="A5">
        <v>2022</v>
      </c>
      <c r="B5">
        <v>-210.72781494805349</v>
      </c>
      <c r="C5">
        <v>0</v>
      </c>
      <c r="D5">
        <f t="shared" si="0"/>
        <v>0</v>
      </c>
      <c r="E5">
        <v>0</v>
      </c>
    </row>
    <row r="6" spans="1:5" x14ac:dyDescent="0.2">
      <c r="A6">
        <v>2023</v>
      </c>
      <c r="B6">
        <v>47.219258068666022</v>
      </c>
      <c r="C6">
        <v>107</v>
      </c>
      <c r="D6">
        <f t="shared" si="0"/>
        <v>749.85599999999999</v>
      </c>
      <c r="E6">
        <f t="shared" si="1"/>
        <v>0.94075934789008564</v>
      </c>
    </row>
    <row r="7" spans="1:5" x14ac:dyDescent="0.2">
      <c r="A7">
        <v>2024</v>
      </c>
      <c r="B7">
        <v>198.9581955674785</v>
      </c>
      <c r="C7">
        <v>159</v>
      </c>
      <c r="D7">
        <f t="shared" si="0"/>
        <v>364.416</v>
      </c>
      <c r="E7">
        <f t="shared" si="1"/>
        <v>0.64684538778516321</v>
      </c>
    </row>
    <row r="8" spans="1:5" x14ac:dyDescent="0.2">
      <c r="A8">
        <v>2025</v>
      </c>
      <c r="B8">
        <v>79.544896626937771</v>
      </c>
      <c r="C8">
        <v>263</v>
      </c>
      <c r="D8">
        <f t="shared" si="0"/>
        <v>728.83199999999999</v>
      </c>
      <c r="E8">
        <f t="shared" si="1"/>
        <v>0.90159924540291836</v>
      </c>
    </row>
    <row r="9" spans="1:5" x14ac:dyDescent="0.2">
      <c r="A9">
        <v>2026</v>
      </c>
      <c r="B9">
        <v>90.543372418382205</v>
      </c>
      <c r="C9">
        <v>367</v>
      </c>
      <c r="D9">
        <f t="shared" si="0"/>
        <v>728.83199999999999</v>
      </c>
      <c r="E9">
        <f t="shared" si="1"/>
        <v>0.88949707854759663</v>
      </c>
    </row>
    <row r="10" spans="1:5" x14ac:dyDescent="0.2">
      <c r="A10">
        <v>2027</v>
      </c>
      <c r="B10">
        <v>99.301443260921587</v>
      </c>
      <c r="C10">
        <v>471</v>
      </c>
      <c r="D10">
        <f t="shared" si="0"/>
        <v>728.83199999999999</v>
      </c>
      <c r="E10">
        <f t="shared" si="1"/>
        <v>0.88009004579032013</v>
      </c>
    </row>
    <row r="11" spans="1:5" x14ac:dyDescent="0.2">
      <c r="A11">
        <v>2028</v>
      </c>
      <c r="B11">
        <v>107.8203506883565</v>
      </c>
      <c r="C11">
        <v>575</v>
      </c>
      <c r="D11">
        <f t="shared" si="0"/>
        <v>728.83199999999999</v>
      </c>
      <c r="E11">
        <f t="shared" si="1"/>
        <v>0.87112884987456596</v>
      </c>
    </row>
    <row r="12" spans="1:5" x14ac:dyDescent="0.2">
      <c r="A12">
        <v>2029</v>
      </c>
      <c r="B12">
        <v>35.92089113136899</v>
      </c>
      <c r="C12">
        <v>679</v>
      </c>
      <c r="D12">
        <f t="shared" si="0"/>
        <v>728.83199999999999</v>
      </c>
      <c r="E12">
        <f t="shared" si="1"/>
        <v>0.95302941440570699</v>
      </c>
    </row>
    <row r="13" spans="1:5" x14ac:dyDescent="0.2">
      <c r="A13">
        <v>2030</v>
      </c>
      <c r="B13">
        <v>53.921551124476537</v>
      </c>
      <c r="C13">
        <v>1063</v>
      </c>
      <c r="D13">
        <f t="shared" si="0"/>
        <v>2691.0720000000001</v>
      </c>
      <c r="E13">
        <f t="shared" si="1"/>
        <v>0.98035640152874393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EF50A-F08F-D749-A191-A50BC36E0999}">
  <dimension ref="A1:E13"/>
  <sheetViews>
    <sheetView workbookViewId="0">
      <selection activeCell="I5" sqref="I5"/>
    </sheetView>
  </sheetViews>
  <sheetFormatPr baseColWidth="10" defaultRowHeight="16" x14ac:dyDescent="0.2"/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2019</v>
      </c>
      <c r="B2">
        <v>249.82805127168831</v>
      </c>
      <c r="C2">
        <v>0</v>
      </c>
    </row>
    <row r="3" spans="1:5" x14ac:dyDescent="0.2">
      <c r="A3">
        <v>2020</v>
      </c>
      <c r="B3">
        <v>344.74688841601892</v>
      </c>
      <c r="C3">
        <v>0.1</v>
      </c>
      <c r="D3">
        <f>(C3-C2)*8760*0.8/1000</f>
        <v>0.70080000000000009</v>
      </c>
      <c r="E3">
        <f>IF(MAX(B3,0)+MAX(D3,0)&gt;0, MAX(D3,0)/(MAX(B3,0)+MAX(D3,0)), "")</f>
        <v>2.0286718467081885E-3</v>
      </c>
    </row>
    <row r="4" spans="1:5" x14ac:dyDescent="0.2">
      <c r="A4">
        <v>2021</v>
      </c>
      <c r="B4">
        <v>244.22409216358571</v>
      </c>
      <c r="C4">
        <v>82.070999999999998</v>
      </c>
      <c r="D4">
        <f t="shared" ref="D4:D13" si="0">(C4-C3)*8760*0.8/1000</f>
        <v>574.45276799999999</v>
      </c>
      <c r="E4">
        <f t="shared" ref="E4:E13" si="1">IF(MAX(B4,0)+MAX(D4,0)&gt;0, MAX(D4,0)/(MAX(B4,0)+MAX(D4,0)), "")</f>
        <v>0.7016843836104204</v>
      </c>
    </row>
    <row r="5" spans="1:5" x14ac:dyDescent="0.2">
      <c r="A5">
        <v>2022</v>
      </c>
      <c r="B5">
        <v>-64.495979045679633</v>
      </c>
      <c r="C5">
        <v>84.070999999999998</v>
      </c>
      <c r="D5">
        <f t="shared" si="0"/>
        <v>14.016</v>
      </c>
      <c r="E5">
        <f t="shared" si="1"/>
        <v>1</v>
      </c>
    </row>
    <row r="6" spans="1:5" x14ac:dyDescent="0.2">
      <c r="A6">
        <v>2023</v>
      </c>
      <c r="B6">
        <v>99.971661519721238</v>
      </c>
      <c r="C6">
        <v>84.134</v>
      </c>
      <c r="D6">
        <f t="shared" si="0"/>
        <v>0.44150400000001672</v>
      </c>
      <c r="E6">
        <f t="shared" si="1"/>
        <v>4.3968736341979458E-3</v>
      </c>
    </row>
    <row r="7" spans="1:5" x14ac:dyDescent="0.2">
      <c r="A7">
        <v>2024</v>
      </c>
      <c r="B7">
        <v>305.02140534383761</v>
      </c>
      <c r="C7">
        <v>89.173000000000002</v>
      </c>
      <c r="D7">
        <f t="shared" si="0"/>
        <v>35.31331200000001</v>
      </c>
      <c r="E7">
        <f t="shared" si="1"/>
        <v>0.10376053396963095</v>
      </c>
    </row>
    <row r="8" spans="1:5" x14ac:dyDescent="0.2">
      <c r="A8">
        <v>2025</v>
      </c>
      <c r="B8">
        <v>226.33810640584309</v>
      </c>
      <c r="C8">
        <v>109.91800000000001</v>
      </c>
      <c r="D8">
        <f t="shared" si="0"/>
        <v>145.38096000000004</v>
      </c>
      <c r="E8">
        <f t="shared" si="1"/>
        <v>0.39110439344876924</v>
      </c>
    </row>
    <row r="9" spans="1:5" x14ac:dyDescent="0.2">
      <c r="A9">
        <v>2026</v>
      </c>
      <c r="B9">
        <v>243.0220268357061</v>
      </c>
      <c r="C9">
        <v>109.91800000000001</v>
      </c>
      <c r="D9">
        <f t="shared" si="0"/>
        <v>0</v>
      </c>
      <c r="E9">
        <f t="shared" si="1"/>
        <v>0</v>
      </c>
    </row>
    <row r="10" spans="1:5" x14ac:dyDescent="0.2">
      <c r="A10">
        <v>2027</v>
      </c>
      <c r="B10">
        <v>258.24381154926959</v>
      </c>
      <c r="C10">
        <v>109.91800000000001</v>
      </c>
      <c r="D10">
        <f t="shared" si="0"/>
        <v>0</v>
      </c>
      <c r="E10">
        <f t="shared" si="1"/>
        <v>0</v>
      </c>
    </row>
    <row r="11" spans="1:5" x14ac:dyDescent="0.2">
      <c r="A11">
        <v>2028</v>
      </c>
      <c r="B11">
        <v>268.37084200531541</v>
      </c>
      <c r="C11">
        <v>109.91800000000001</v>
      </c>
      <c r="D11">
        <f t="shared" si="0"/>
        <v>0</v>
      </c>
      <c r="E11">
        <f t="shared" si="1"/>
        <v>0</v>
      </c>
    </row>
    <row r="12" spans="1:5" x14ac:dyDescent="0.2">
      <c r="A12">
        <v>2029</v>
      </c>
      <c r="B12">
        <v>197.5062901739802</v>
      </c>
      <c r="C12">
        <v>109.91800000000001</v>
      </c>
      <c r="D12">
        <f t="shared" si="0"/>
        <v>0</v>
      </c>
      <c r="E12">
        <f t="shared" si="1"/>
        <v>0</v>
      </c>
    </row>
    <row r="13" spans="1:5" x14ac:dyDescent="0.2">
      <c r="A13">
        <v>2030</v>
      </c>
      <c r="B13">
        <v>197.18727326401489</v>
      </c>
      <c r="C13">
        <v>109.91800000000001</v>
      </c>
      <c r="D13">
        <f t="shared" si="0"/>
        <v>0</v>
      </c>
      <c r="E13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AEP</vt:lpstr>
      <vt:lpstr>APS</vt:lpstr>
      <vt:lpstr>ATSI</vt:lpstr>
      <vt:lpstr>BGE</vt:lpstr>
      <vt:lpstr>COMED</vt:lpstr>
      <vt:lpstr>DAY</vt:lpstr>
      <vt:lpstr>DEOK</vt:lpstr>
      <vt:lpstr>DOM</vt:lpstr>
      <vt:lpstr>DUQ</vt:lpstr>
      <vt:lpstr>EKPC</vt:lpstr>
      <vt:lpstr>JCPL</vt:lpstr>
      <vt:lpstr>METED</vt:lpstr>
      <vt:lpstr>PECO</vt:lpstr>
      <vt:lpstr>PENELEC</vt:lpstr>
      <vt:lpstr>PEPCO</vt:lpstr>
      <vt:lpstr>PPL</vt:lpstr>
      <vt:lpstr>PSEG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Cheng Feng</cp:lastModifiedBy>
  <dcterms:created xsi:type="dcterms:W3CDTF">2025-10-06T19:24:41Z</dcterms:created>
  <dcterms:modified xsi:type="dcterms:W3CDTF">2025-10-13T15:03:23Z</dcterms:modified>
</cp:coreProperties>
</file>